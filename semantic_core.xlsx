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usters" sheetId="2" r:id="rId6"/>
    <sheet state="visible" name="competitors" sheetId="3" r:id="rId7"/>
    <sheet state="visible" name="content_plan" sheetId="4" r:id="rId8"/>
    <sheet state="visible" name="interlinking_map" sheetId="5" r:id="rId9"/>
    <sheet state="visible" name="statiy" sheetId="6" r:id="rId10"/>
    <sheet state="visible" name="briefs_ТЗ" sheetId="7" r:id="rId11"/>
    <sheet state="visible" name="wp_export" sheetId="8" r:id="rId12"/>
    <sheet state="visible" name="image_generation" sheetId="9" r:id="rId13"/>
  </sheets>
  <definedNames/>
  <calcPr/>
</workbook>
</file>

<file path=xl/sharedStrings.xml><?xml version="1.0" encoding="utf-8"?>
<sst xmlns="http://schemas.openxmlformats.org/spreadsheetml/2006/main" count="2034" uniqueCount="898">
  <si>
    <t>article_id</t>
  </si>
  <si>
    <t>url</t>
  </si>
  <si>
    <t>рабочий заголовок</t>
  </si>
  <si>
    <t>title</t>
  </si>
  <si>
    <t>h1</t>
  </si>
  <si>
    <t>кластер</t>
  </si>
  <si>
    <t>date</t>
  </si>
  <si>
    <t>slug</t>
  </si>
  <si>
    <t>source</t>
  </si>
  <si>
    <t>тип статьи</t>
  </si>
  <si>
    <t>content_type</t>
  </si>
  <si>
    <t>приоритет</t>
  </si>
  <si>
    <t>cluster</t>
  </si>
  <si>
    <t>статус</t>
  </si>
  <si>
    <t>priority</t>
  </si>
  <si>
    <t>status</t>
  </si>
  <si>
    <t>перелинковка (исходящие ссылки и анкоры)</t>
  </si>
  <si>
    <t>Ответственный_бот</t>
  </si>
  <si>
    <t>Следующее_действие</t>
  </si>
  <si>
    <t>test</t>
  </si>
  <si>
    <t>домен</t>
  </si>
  <si>
    <t>ниша</t>
  </si>
  <si>
    <t>описание</t>
  </si>
  <si>
    <t>ключевые темы</t>
  </si>
  <si>
    <t>тип</t>
  </si>
  <si>
    <t>кол-во тем в плане</t>
  </si>
  <si>
    <t>раздел блога</t>
  </si>
  <si>
    <t>кол-во статей (собрано)</t>
  </si>
  <si>
    <t>заметки</t>
  </si>
  <si>
    <t>дата_обновления</t>
  </si>
  <si>
    <t>конкуренты</t>
  </si>
  <si>
    <t>пробел</t>
  </si>
  <si>
    <t>https://solderpoint.ru/blog/kak-vyibrat-proizvoditelya-pechatnyix-plat-dlya-promyishlennogo-proekta</t>
  </si>
  <si>
    <t>Как выбрать производителя печатных плат для промышленного проекта</t>
  </si>
  <si>
    <t>30-05-2026</t>
  </si>
  <si>
    <t>solderpoint.ru</t>
  </si>
  <si>
    <t>гайд / выбор</t>
  </si>
  <si>
    <t>Производство / Поставщики</t>
  </si>
  <si>
    <t>средний</t>
  </si>
  <si>
    <t>собрано</t>
  </si>
  <si>
    <t>Как паять паяльником: пошаговый гайд для начинающих</t>
  </si>
  <si>
    <t>Основы пайки / Как паять</t>
  </si>
  <si>
    <t>Контрактное производство электроники + блог</t>
  </si>
  <si>
    <t>Прямой конкурент</t>
  </si>
  <si>
    <t>Базовые гайды для новичков: процесс пайки от начала до конца</t>
  </si>
  <si>
    <t>kak-payat-payalnikom-dlya-nachinayuschih</t>
  </si>
  <si>
    <t>https://solderpoint.ru/blog</t>
  </si>
  <si>
    <t>как паять, техника пайки, пайка для начинающих, как правильно паять, пайка проводов</t>
  </si>
  <si>
    <t>гайд</t>
  </si>
  <si>
    <t>https://solderpoint.ru/blog/chto-takoe-bga-komponentyi-i-pochemu-ix-montazh-slozhnee</t>
  </si>
  <si>
    <t>Что такое BGA компоненты и почему их монтаж сложнее</t>
  </si>
  <si>
    <t>🔴 Высокий</t>
  </si>
  <si>
    <t>гайд для новичков</t>
  </si>
  <si>
    <t>~54 статьи всего, 9 страниц пагинации. Фокус B2B, не на новичках. Хорошие статьи про типы монтажа</t>
  </si>
  <si>
    <t>28-05-2026</t>
  </si>
  <si>
    <t>обучающий / что такое</t>
  </si>
  <si>
    <t>Типы компонентов / BGA</t>
  </si>
  <si>
    <t>dns-shop.ru, vseinstrumenti.ru, habr.com, sea.com.ua, AlexGyver (YouTube)</t>
  </si>
  <si>
    <t>WordPress Draft готов</t>
  </si>
  <si>
    <t>У конкурентов нет пошагового гайда с фото + разбором физики процесса на нишевом магазине</t>
  </si>
  <si>
    <t>не начато</t>
  </si>
  <si>
    <t>-&gt; #2 (/s-chego-nachat-pajku) [что купить новичку]; -&gt; #15 (/pripoj-dlya-pajki-vidy) [выбор припоя ПОС-61]; -&gt; #20 (/flyus-dlya-pajki-kakoj-vybrat) [применение флюса]; -&gt; #25 (/oshibki-novichka-pri-pajke) [типичные ошибки новичков]</t>
  </si>
  <si>
    <t>solder-wordpress-publisher</t>
  </si>
  <si>
    <t>Опубликовать в WordPress</t>
  </si>
  <si>
    <t>https://solderpoint.ru/blog/kak-sokratit-sroki-proizvodstva-i-sborki-pechatnyix-plat</t>
  </si>
  <si>
    <t>Как сократить сроки производства и сборки печатных плат</t>
  </si>
  <si>
    <t>27-05-2026</t>
  </si>
  <si>
    <t>гайд / советы</t>
  </si>
  <si>
    <t>Производство / Сроки</t>
  </si>
  <si>
    <t>низкий</t>
  </si>
  <si>
    <t>dns-shop.ru</t>
  </si>
  <si>
    <t>Крупный ритейлер электроники</t>
  </si>
  <si>
    <t>Эталон формата</t>
  </si>
  <si>
    <t>https://club.dns-shop.ru/blog/t-375-payalnyie-instrumentyi/</t>
  </si>
  <si>
    <t>С чего начать пайку: что нужно новичку</t>
  </si>
  <si>
    <t>https://solderpoint.ru/blog/chem-otlichaetsya-prototipirovanie-ot-serijnogo-proizvodstva-elektroniki</t>
  </si>
  <si>
    <t>Инструменты / Выбор паяльника</t>
  </si>
  <si>
    <t>Гайд для новичков с пошаговой структурой — бенчмарк формата</t>
  </si>
  <si>
    <t>Чем отличается прототипирование от серийного производства электроники</t>
  </si>
  <si>
    <t>s-chego-nachat-pajku</t>
  </si>
  <si>
    <t>Чем отличается прототипирование от серийного производства</t>
  </si>
  <si>
    <t>Как выбрать паяльник: типы, мощность, станции, беспроводные модели</t>
  </si>
  <si>
    <t>25-05-2026</t>
  </si>
  <si>
    <t>какой паяльник выбрать, лучший паяльник, паяльник для новичка, паяльная станция, мощность паяльника</t>
  </si>
  <si>
    <t>сравнение</t>
  </si>
  <si>
    <t>Производство / Прототипы</t>
  </si>
  <si>
    <t>buyer's guide</t>
  </si>
  <si>
    <t>написано</t>
  </si>
  <si>
    <t>-&gt; #1 (/kak-payat-payalnikom-dlya-nachinayuschih) [пошаговая техника пайки]; -&gt; #6 (/kakoj-payalnik-vybrat) [как выбрать паяльник]; -&gt; #47 (/nabor-instrumentov-dlya-nachinayuschih) [набор инструментов радиолюбителя]</t>
  </si>
  <si>
    <t>xakep.ru, t-j.ru, alexgyver.ru</t>
  </si>
  <si>
    <t>solder-article-writer</t>
  </si>
  <si>
    <t>Опубликовать</t>
  </si>
  <si>
    <t>Нет актуального гайда выбора с моделями 2025-2026 на нишевом сайте; alexgyver.ru даёт подборку без сравнения</t>
  </si>
  <si>
    <t>https://solderpoint.ru/blog/tipovyie-oshibki-pri-proektirovanii-pechatnyix-plat</t>
  </si>
  <si>
    <t>Типовые ошибки при проектировании печатных плат под производство</t>
  </si>
  <si>
    <t>Типовые ошибки при проектировании печатных плат</t>
  </si>
  <si>
    <t>21-05-2026</t>
  </si>
  <si>
    <t>ошибки / топ N</t>
  </si>
  <si>
    <t>Ошибки / Проектирование</t>
  </si>
  <si>
    <t>высокий</t>
  </si>
  <si>
    <t>vseinstrumenti.ru</t>
  </si>
  <si>
    <t>Крупный магазин инструментов</t>
  </si>
  <si>
    <t>https://solderpoint.ru/blog/chto-vliyaet-na-stoimost-montazha-pechatnyix-plat</t>
  </si>
  <si>
    <t>Пайка проводов: как правильно соединить и изолировать</t>
  </si>
  <si>
    <t>Что влияет на стоимость монтажа печатных плат</t>
  </si>
  <si>
    <t>https://www.vseinstrumenti.ru/publication/</t>
  </si>
  <si>
    <t>Материалы / Припои</t>
  </si>
  <si>
    <t>18-05-2026</t>
  </si>
  <si>
    <t>Подробные статьи для новичков, хорошая структура шагов</t>
  </si>
  <si>
    <t>Виды припоев: свинцовые, бессвинцовые, диаметр, маркировки</t>
  </si>
  <si>
    <t>обучающий / факторы</t>
  </si>
  <si>
    <t>pajka-provodov-kak-soedinit</t>
  </si>
  <si>
    <t>Производство / Стоимость</t>
  </si>
  <si>
    <t>припой для пайки, какой припой выбрать, ПОС-61, ПОС-40, SAC305, бессвинцовый припой</t>
  </si>
  <si>
    <t>инструкция</t>
  </si>
  <si>
    <t>гайд / обучающий</t>
  </si>
  <si>
    <t>нет сильного контента в РФ</t>
  </si>
  <si>
    <t>Практически нет доступного контента для новичков на русском языке</t>
  </si>
  <si>
    <t>https://solderpoint.ru/blog/kogda-nuzhen-ruchnoj-smd-montazh</t>
  </si>
  <si>
    <t>solder-reviewer</t>
  </si>
  <si>
    <t>Когда нужен ручной SMD монтаж, а когда автоматический</t>
  </si>
  <si>
    <t>Передать на ревью (solder-reviewer)</t>
  </si>
  <si>
    <t>12-05-2026</t>
  </si>
  <si>
    <t>сравнение / выбор</t>
  </si>
  <si>
    <t>Типы монтажа / SMD</t>
  </si>
  <si>
    <t>habr.com</t>
  </si>
  <si>
    <t>IT-медиа, технический контент</t>
  </si>
  <si>
    <t>Эталон экспертности</t>
  </si>
  <si>
    <t>https://habr.com/ru/articles/148656/</t>
  </si>
  <si>
    <t>https://solderpoint.ru/blog/kak-vyibrat-mezhdu-smd-i-dip-montazhom</t>
  </si>
  <si>
    <t>Как выбрать между SMD и DIP монтажом</t>
  </si>
  <si>
    <t>08-05-2026</t>
  </si>
  <si>
    <t>Экспертный лонгрид с нюансами — бенчмарк глубины контента. 889K охват, 131 голос</t>
  </si>
  <si>
    <t>Материалы / Флюсы</t>
  </si>
  <si>
    <t>Типы монтажа / SMD vs DIP</t>
  </si>
  <si>
    <t>Виды флюсов, когда какой использовать, как очищать остатки</t>
  </si>
  <si>
    <t>флюс для пайки, канифоль, RMA флюс, активный флюс, отмывочный флюс</t>
  </si>
  <si>
    <t>Как научиться паять быстро и без брака</t>
  </si>
  <si>
    <t>kak-nauchitsya-payat-bystro</t>
  </si>
  <si>
    <t>Тема почти не закрыта нишевыми блогами; AlexGyver даёт обзор в видео, но текстового гайда нет</t>
  </si>
  <si>
    <t>https://solderpoint.ru/blog/chto-takoe-bom-fajl-i-zachem-on-nuzhen-pri-sborke-plat</t>
  </si>
  <si>
    <t>Что такое BOM файл и зачем он нужен при сборке плат</t>
  </si>
  <si>
    <t>🟡 Средний</t>
  </si>
  <si>
    <t>05-05-2026</t>
  </si>
  <si>
    <t>Производство / Документация</t>
  </si>
  <si>
    <t>Готов к написанию</t>
  </si>
  <si>
    <t>-&gt; #1 (/kak-payat-payalnikom-dlya-nachinayuschih) [пошаговый алгоритм]; -&gt; #25 (/oshibki-novichka-pri-pajke) [причины брака]; -&gt; #42 (/kak-chistit-i-ludit-zhalo) [лужение жала]</t>
  </si>
  <si>
    <t>xakep.ru</t>
  </si>
  <si>
    <t>Написать статью (solder-article-writer)</t>
  </si>
  <si>
    <t>Техническое медиа</t>
  </si>
  <si>
    <t>https://xakep.ru/2022/08/17/soldering-art/</t>
  </si>
  <si>
    <t>https://solderpoint.ru/blog/kak-podgotovit-gerber-fajlyi-dlya-montazha-pechatnyix-plat</t>
  </si>
  <si>
    <t>Обзор инструментов — структура buyer's guide</t>
  </si>
  <si>
    <t>Как подготовить Gerber файлы для монтажа печатных плат</t>
  </si>
  <si>
    <t>01-05-2026</t>
  </si>
  <si>
    <t>Ошибки / Проблемы новичка</t>
  </si>
  <si>
    <t>инструкция / как</t>
  </si>
  <si>
    <t>Частые ошибки при пайке: холодная пайка, мосты, перегрев, скатывание припоя</t>
  </si>
  <si>
    <t>ошибки при пайке, холодная пайка, мост при пайке, перегрев компонентов, припой не плавится</t>
  </si>
  <si>
    <t>топ ошибок / проблема-решение</t>
  </si>
  <si>
    <t>solderpoint.ru (про производство), sea.com.ua</t>
  </si>
  <si>
    <t>Нет отдельного гайда про ошибки новичка при ручной пайке (sea.com.ua даёт список, но без детального разбора)</t>
  </si>
  <si>
    <t>https://solderpoint.ru/blog/montazh-alyuminievyh-plat-preimushestva</t>
  </si>
  <si>
    <t>Монтаж алюминиевых плат</t>
  </si>
  <si>
    <t>29-04-2026</t>
  </si>
  <si>
    <t>обучающий</t>
  </si>
  <si>
    <t>Типы плат / Алюминиевые</t>
  </si>
  <si>
    <t>t-j.ru</t>
  </si>
  <si>
    <t>Лайфстайл/рейтинговое медиа</t>
  </si>
  <si>
    <t>https://t-j.ru/best-soldering-irons/</t>
  </si>
  <si>
    <t>Рейтинг паяльников 2026 — бенчмарк для рейтинговых статей</t>
  </si>
  <si>
    <t>https://solderpoint.ru/blog/montazh-dvustoronnih-plat</t>
  </si>
  <si>
    <t>Монтаж двусторонних плат</t>
  </si>
  <si>
    <t>28-04-2026</t>
  </si>
  <si>
    <t>Типы плат / Двусторонние</t>
  </si>
  <si>
    <t>Пайка для детей: безопасное обучение основам</t>
  </si>
  <si>
    <t>Инструменты / Рейтинг паяльников</t>
  </si>
  <si>
    <t>Топ паяльников по цене, бренду и качеству</t>
  </si>
  <si>
    <t>рейтинг паяльников, лучший паяльник 2026, Hakko, JBC, TS100, T12, T80</t>
  </si>
  <si>
    <t>рейтинг / обзор бренда</t>
  </si>
  <si>
    <t>https://club.dns-shop.ru/blog/t-375-payalnyie-instrumentyi/90493-kak-pravilno-payat-rukovodstvo-dlya-nachinauschih/</t>
  </si>
  <si>
    <t>Как правильно паять: руководство для начинающих</t>
  </si>
  <si>
    <t>t-j.ru, alexgyver.ru</t>
  </si>
  <si>
    <t>Как правильно паять</t>
  </si>
  <si>
    <t>pajka-dlya-detej-bezopasnost</t>
  </si>
  <si>
    <t>12-03-2023</t>
  </si>
  <si>
    <t>Ни один нишевый магазин не даёт рейтинг под новичков; AlexGyver рекомендует T80/T245 но без сводной таблицы цен</t>
  </si>
  <si>
    <t>payalniki.ru</t>
  </si>
  <si>
    <t>Поставки паяльного оборудования</t>
  </si>
  <si>
    <t>https://www.payalniki.ru/catalog/</t>
  </si>
  <si>
    <t>🟢 Низкий</t>
  </si>
  <si>
    <t>Каталог без блога — слабый контент, наша возможность</t>
  </si>
  <si>
    <t>https://www.vseinstrumenti.ru/publication/kak-nauchitsya-payat-payalnikom-pravilnaya-tehnika-dlya-nachinayuschih-2846/</t>
  </si>
  <si>
    <t>Как научиться паять паяльником: правильная техника для начинающих</t>
  </si>
  <si>
    <t>Как научиться паять паяльником</t>
  </si>
  <si>
    <t>18-07-2023</t>
  </si>
  <si>
    <t>Ремонт электроники</t>
  </si>
  <si>
    <t>-&gt; #8 (/moschnost-payalnika-dlya-zadach) [маломощный паяльник]; -&gt; #43 (/tehnika-bezopasnosti-pri-pajke) [техника безопасности]</t>
  </si>
  <si>
    <t>Практический ремонт: телефоны, наушники, разъёмы, выпайка деталей</t>
  </si>
  <si>
    <t>пайка платы телефона, ремонт наушников, выпайка детали, разъём зарядки</t>
  </si>
  <si>
    <t>Пайка для начинающих</t>
  </si>
  <si>
    <t>alexgyver.ru</t>
  </si>
  <si>
    <t>13-05-2026</t>
  </si>
  <si>
    <t>DIY электроника, обучающий контент</t>
  </si>
  <si>
    <t>экспертный лонгрид</t>
  </si>
  <si>
    <t>Косвенный конкурент / эталон</t>
  </si>
  <si>
    <t>youtube.com (Паялыч 46К просм.), ruselectronic.com, youtube.com (Galactic Express)</t>
  </si>
  <si>
    <t>Основы пайки / Начинающим</t>
  </si>
  <si>
    <t>Нет нишевого блога с текстовыми пошаговыми гайдами: конкуренты — только YouTube видео без текста и устаревшие статьи 2013-2019 г.</t>
  </si>
  <si>
    <t>https://alexgyver.ru/all-for-soldering/</t>
  </si>
  <si>
    <t>Видео 2.1M+ просмотров о пайке, подборка товаров. Сильный авторитет у новичков. Текстового блога нет — наша возможность занять нишу статьями</t>
  </si>
  <si>
    <t>Искусство пайки. Выбираем инструменты, приборы и материалы</t>
  </si>
  <si>
    <t>Искусство пайки</t>
  </si>
  <si>
    <t>17-08-2022</t>
  </si>
  <si>
    <t>обзор / выбор инструментов</t>
  </si>
  <si>
    <t>SMD пайка руками, термофен, мелкие компоненты</t>
  </si>
  <si>
    <t>ручная пайка SMD, как паять SMD, пинцет, паяльная паста, термофен</t>
  </si>
  <si>
    <t>sea.com.ua</t>
  </si>
  <si>
    <t>Лучшие паяльники в 2026 году: рейтинг моделей</t>
  </si>
  <si>
    <t>инструкция / buyer's guide</t>
  </si>
  <si>
    <t>Лучшие паяльники в 2026 году</t>
  </si>
  <si>
    <t>Поставки паяльного оборудования (Украина)</t>
  </si>
  <si>
    <t>11-02-2025</t>
  </si>
  <si>
    <t>Косвенный конкурент</t>
  </si>
  <si>
    <t>solderpoint.ru, sea.com.ua</t>
  </si>
  <si>
    <t>рейтинг / buyer's guide</t>
  </si>
  <si>
    <t>https://www.sea.com.ua/ua/payalnoe-oborudovanie-i-instrument/news/</t>
  </si>
  <si>
    <t>Нет практического гайда для новичков (конкуренты дают B2B или общий обзор без пошагового алгоритма)</t>
  </si>
  <si>
    <t>Детальные статьи для новичков на украинском + рус. Хороший структурный бенчмарк, но аудитория другая. Статья "Как научиться паять" — 25K просмотров</t>
  </si>
  <si>
    <t>Какой паяльник выбрать: советы для новичка в 2026 году</t>
  </si>
  <si>
    <t>https://www.youtube.com/watch?v=h9RTe8-vmxo</t>
  </si>
  <si>
    <t>Как паять? Большой урок по пайке электроники</t>
  </si>
  <si>
    <t>kakoj-payalnik-vybrat</t>
  </si>
  <si>
    <t>04-11-2024</t>
  </si>
  <si>
    <t>youtube.com / AlexGyver</t>
  </si>
  <si>
    <t>видео-урок</t>
  </si>
  <si>
    <t>Ревью: текст</t>
  </si>
  <si>
    <t>Аксессуары / Оснастка</t>
  </si>
  <si>
    <t>-&gt; #7 (/payalnaya-stanciya-ili-payalnik) [паяльник или станция]; -&gt; #8 (/moschnost-payalnika-dlya-zadach) [подбор мощности]; -&gt; #11 (/luchshie-payalniki-dlya-doma) [ТОП паяльников 2026]; -&gt; #54 (/smart-payalniki-type-c-obzor) [смарт-паяльники Type-C]</t>
  </si>
  <si>
    <t>Держатель, оплётка, подставка, губка для паяльника</t>
  </si>
  <si>
    <t>третья рука для пайки, оплётка для снятия припоя, подставка для паяльника</t>
  </si>
  <si>
    <t>Всё для пайки — подборка AlexGyver</t>
  </si>
  <si>
    <t>Всё для пайки</t>
  </si>
  <si>
    <t>buyer's guide / гайд</t>
  </si>
  <si>
    <t>2024</t>
  </si>
  <si>
    <t>lemanapro.ru</t>
  </si>
  <si>
    <t>подборка / buyer's guide</t>
  </si>
  <si>
    <t>Строительный гипермаркет (Leroy Merlin)</t>
  </si>
  <si>
    <t>нет прямых конкурентов</t>
  </si>
  <si>
    <t>Ниша полностью свободна</t>
  </si>
  <si>
    <t>https://lemanapro.ru/advice/instrumenty/</t>
  </si>
  <si>
    <t>Статья о пайке в домашних условиях. Закрыт для парсинга (401), но присутствует в выдаче по нашим ключевым запросам</t>
  </si>
  <si>
    <t>https://www.sea.com.ua/ua/payalnoe-oborudovanie-i-instrument/news/kak-naucitsa-paat-s-cego-nacat-i-kakie-instrumenty-nuzny/</t>
  </si>
  <si>
    <t>Паяльная станция или обычный паяльник: что выбрать</t>
  </si>
  <si>
    <t>Как научиться паять: с чего начать и какие инструменты нужны</t>
  </si>
  <si>
    <t>Как навчитися паяти: з чого почати та які інструменти потрібні</t>
  </si>
  <si>
    <t>16-06-2025</t>
  </si>
  <si>
    <t>payalnaya-stanciya-ili-payalnik</t>
  </si>
  <si>
    <t>готов к написанию</t>
  </si>
  <si>
    <t>-&gt; #6 (/kakoj-payalnik-vybrat) [как выбрать паяльник]; -&gt; #12 (/payalnye-stancii-do-5000) [бюджетные паяльные станции]; -&gt; #33 (/termofen-dlya-pajki-vybor) [термофен для SMD]</t>
  </si>
  <si>
    <t>Безопасность</t>
  </si>
  <si>
    <t>Техника безопасности, вредность дыма флюса, вентиляция</t>
  </si>
  <si>
    <t>https://lemanapro.ru/advice/instrumenty/kak-pravilno-payat-payalnikom-v-domashnih-usloviyah/</t>
  </si>
  <si>
    <t>техника безопасности при пайке, дым от флюса, вентиляция для пайки</t>
  </si>
  <si>
    <t>Как правильно паять паяльником в домашних условиях</t>
  </si>
  <si>
    <t>гайд / инструкция</t>
  </si>
  <si>
    <t>ruselectronic.com</t>
  </si>
  <si>
    <t>Практическая электроника — обучающие статьи по ремонту</t>
  </si>
  <si>
    <t>требует проверки</t>
  </si>
  <si>
    <t>lemanapro.ru (закрытый контент, 401)</t>
  </si>
  <si>
    <t>Какая мощность паяльника нужна для разных задач</t>
  </si>
  <si>
    <t>Тема почти не закрыта текстовым контентом — занять топ по 'техника безопасности при пайке' реально с 1 статьёй</t>
  </si>
  <si>
    <t>moschnost-payalnika-dlya-zadach</t>
  </si>
  <si>
    <t>https://ruselectronic.com/</t>
  </si>
  <si>
    <t>Пошаговые инструкции по замене разъёмов, ремонту телефонов. Тексты без видео, есть фото. Хорошо индексируется Яндексом. Нишевый блог-конкурент в кластере 'Ремонт электроники'</t>
  </si>
  <si>
    <t>-&gt; #6 (/kakoj-payalnik-vybrat) [выбор паяльника]; -&gt; #29 (/peregrev-komponentov-pri-pajke) [защита деталей от перегрева]</t>
  </si>
  <si>
    <t>https://www.youtube.com/watch?v=9rxSOe1djxg</t>
  </si>
  <si>
    <t>Замена разъёма Type-C на Samsung: обучающее видео</t>
  </si>
  <si>
    <t>Обучающее видео пайке — замена разъема type-c</t>
  </si>
  <si>
    <t>02-02-2024</t>
  </si>
  <si>
    <t>youtube.com / Паялыч</t>
  </si>
  <si>
    <t>видео-инструкция</t>
  </si>
  <si>
    <t>Беспроводной паяльник: плюсы, минусы, когда нужен</t>
  </si>
  <si>
    <t>besprovodnoj-payalnik</t>
  </si>
  <si>
    <t>обзор</t>
  </si>
  <si>
    <t>Материалы / Специфичные</t>
  </si>
  <si>
    <t>-&gt; #6 (/kakoj-payalnik-vybrat) [сетевые паяльники]; -&gt; #46 (/kak-organizovat-mesto-dlya-pajki) [пайка вне дома]</t>
  </si>
  <si>
    <t>https://ruselectronic.com/zamena-sistemnogo-razema-samsung-x-480/</t>
  </si>
  <si>
    <t>Пайка алюминия, нержавейки, термоусадка</t>
  </si>
  <si>
    <t>Замена разъёма зарядки телефона пошагово</t>
  </si>
  <si>
    <t>Замена системного разъема Samsung X-480</t>
  </si>
  <si>
    <t>19-08-2013 (обновл. 2019)</t>
  </si>
  <si>
    <t>пайка алюминия, пайка нержавейки, термоусадка после пайки</t>
  </si>
  <si>
    <t>5353.by</t>
  </si>
  <si>
    <t>инструкция / пошаговый гайд</t>
  </si>
  <si>
    <t>Сервис ремонта техники (Беларусь)</t>
  </si>
  <si>
    <t>https://5353.by/kak-pochinit-zamenit-propayt-raziem-tupe-c/</t>
  </si>
  <si>
    <t>нет прямых</t>
  </si>
  <si>
    <t>Узкие темы с низкой конкуренцией, легко занять топ</t>
  </si>
  <si>
    <t>Паяльник для SMD: какой выбрать для мелких деталей</t>
  </si>
  <si>
    <t>Статья по замене разъёма Type-C, контент закрыт за формой. Продвигается в РФ-выдаче по запросу 'поменять разъём зарядки'. Слабый конкурент по E-E-A-T</t>
  </si>
  <si>
    <t>payalnik-dlya-smd</t>
  </si>
  <si>
    <t>https://www.youtube.com/watch?v=20OXwrwOlm8</t>
  </si>
  <si>
    <t>Ремонт гнезда зарядки телефона в домашних условиях</t>
  </si>
  <si>
    <t>-&gt; #6 (/kakoj-payalnik-vybrat) [критерии выбора паяльника]; -&gt; #30 (/smd-pajka-svoimi-rukami) [ручная пайка SMD]; -&gt; #41 (/zhalo-dlya-payalnika-tipy) [микрожала для SMD]</t>
  </si>
  <si>
    <t>Ремонт гнезда зарядки на телефоне в домашних условиях</t>
  </si>
  <si>
    <t>18-03-2018</t>
  </si>
  <si>
    <t>youtube.com / Galactic Express</t>
  </si>
  <si>
    <t>Лучшие паяльники для дома: ТОП-10 моделей 2026</t>
  </si>
  <si>
    <t>luchshie-payalniki-dlya-doma</t>
  </si>
  <si>
    <t>рейтинг</t>
  </si>
  <si>
    <t>Жало паяльника: типы и уход (раздел из обзора)</t>
  </si>
  <si>
    <t>Запустить</t>
  </si>
  <si>
    <t>Инструменты / Жала</t>
  </si>
  <si>
    <t>Искусство пайки — жала паяльника</t>
  </si>
  <si>
    <t>Жала для паяльника: типы, уход, замена, очистка</t>
  </si>
  <si>
    <t>жало для паяльника, T12 жало, как ухаживать за жалом, зачистка жала, лужение жала</t>
  </si>
  <si>
    <t>supereyes.ru</t>
  </si>
  <si>
    <t>Нишевый гипермаркет измерительных приборов и паяльного оборудования</t>
  </si>
  <si>
    <t>требует доп. проверки</t>
  </si>
  <si>
    <t>Прямой B2C конкурент</t>
  </si>
  <si>
    <t>-&gt; #6 (/kakoj-payalnik-vybrat) [параметры выбора]; -&gt; #12 (/payalnye-stancii-do-5000) [станции до 5000 рублей]; -&gt; #13 (/payalniki-t12-obzor) [паяльники T12]; -&gt; #54 (/smart-payalniki-type-c-obzor) [смарт-паяльники Type-C]</t>
  </si>
  <si>
    <t>https://supereyes.ru/articles/</t>
  </si>
  <si>
    <t>xakep.ru (раздел в обзоре, не отдельная статья)</t>
  </si>
  <si>
    <t>Нет ни одной отдельной статьи о жалах в РФ-выдаче — лёгкий топ</t>
  </si>
  <si>
    <t>Сильный экспертный блог. Высокий авторитет по BGA, оптике, выбору станций и рейтингам.</t>
  </si>
  <si>
    <t>Техника безопасности при пайке паяльником дома</t>
  </si>
  <si>
    <t>требует проверки (401)</t>
  </si>
  <si>
    <t>Организация рабочего места</t>
  </si>
  <si>
    <t>Обустройство места для пайки, базовый набор инструментов</t>
  </si>
  <si>
    <t>рабочее место для пайки, набор инструментов радиолюбителя</t>
  </si>
  <si>
    <t>est-smt.ru</t>
  </si>
  <si>
    <t>Поставщик SMT и BGA оборудования</t>
  </si>
  <si>
    <t>гайд / buyer's guide</t>
  </si>
  <si>
    <t>Тематический B2B/B2C конкурент</t>
  </si>
  <si>
    <t>https://alexgyver.ru/gyverkit-solder/</t>
  </si>
  <si>
    <t>https://est-smt.ru/stati/</t>
  </si>
  <si>
    <t>Паяльный набор начинающего: комплект GyvER</t>
  </si>
  <si>
    <t>Паяльный набор GyvERkit Solder</t>
  </si>
  <si>
    <t>alexgyver.ru (product-led страницы наборов, не SEO-статьи)</t>
  </si>
  <si>
    <t>Глубокие статьи по технологии реболлинга, монтажу BGA и работе с паяльными пастами.</t>
  </si>
  <si>
    <t>Нет нишевого SEO-гайда 'как обустроить место для пайки дома' — высокая коммерческая ценность</t>
  </si>
  <si>
    <t>product-led / buyer's guide</t>
  </si>
  <si>
    <t>Лучшие паяльные станции до 5000 рублей</t>
  </si>
  <si>
    <t>payalnye-stancii-do-5000</t>
  </si>
  <si>
    <t>-&gt; #11 (/luchshie-payalniki-dlya-doma) [общий рейтинг паяльников]; -&gt; #7 (/payalnaya-stanciya-ili-payalnik) [станция или паяльник]</t>
  </si>
  <si>
    <t>https://alexgyver.ru/gyverkit-solder-mini/</t>
  </si>
  <si>
    <t>Мини-набор для пайки электроники GyvER</t>
  </si>
  <si>
    <t>Паяльный мини-набор GyvERkit Solder Mini</t>
  </si>
  <si>
    <t>Обзор паяльников T12: что это и почему их выбирают</t>
  </si>
  <si>
    <t>payalniki-t12-obzor</t>
  </si>
  <si>
    <t>Разница SMD и DIP монтажа, когда что применять</t>
  </si>
  <si>
    <t>-&gt; #11 (/luchshie-payalniki-dlya-doma) [рейтинг домашних паяльников]; -&gt; #41 (/zhalo-dlya-payalnika-tipy) [картриджи и жала T12]</t>
  </si>
  <si>
    <t>SMD пайка, DIP монтаж, чем отличается SMD от DIP, поверхностный монтаж</t>
  </si>
  <si>
    <t>mysku.club</t>
  </si>
  <si>
    <t>https://supereyes.ru/articles/soldering_bga_reballing/payka_bga_mikroskhem_ili_rebolling_dlya_nachinayushchikh/</t>
  </si>
  <si>
    <t>Сообщество обзоров товаров и самоделок</t>
  </si>
  <si>
    <t>Пайка BGA микросхем для начинающих — советы от Суперайс</t>
  </si>
  <si>
    <t>Пайка BGA микросхем или реболлинг для начинающих</t>
  </si>
  <si>
    <t>Контент конкурента ориентирован на производство, не на новичков</t>
  </si>
  <si>
    <t>10-02-2023</t>
  </si>
  <si>
    <t>https://mysku.club/catalog/129-payalnye-stancii</t>
  </si>
  <si>
    <t>BGA и Реболлинг</t>
  </si>
  <si>
    <t>Реальный пользовательский опыт, детальные тесты смарт-паяльников (TS101, Pinecil, FNC88).</t>
  </si>
  <si>
    <t>Паяльники Hakko: обзор моделей и для чего подходят</t>
  </si>
  <si>
    <t>payalniki-hakko-obzor</t>
  </si>
  <si>
    <t>обзор бренда</t>
  </si>
  <si>
    <t>-&gt; #11 (/luchshie-payalniki-dlya-doma) [ТОП паяльников]; -&gt; #41 (/zhalo-dlya-payalnika-tipy) [стандарты жал Hakko]</t>
  </si>
  <si>
    <t>https://est-smt.ru/stati/rebolling-kak-payat-mikroskhemy-bga/</t>
  </si>
  <si>
    <t>Пайка BGA что это: полное руководство по реболлингу</t>
  </si>
  <si>
    <t>15-12-2025</t>
  </si>
  <si>
    <t>экспертный гайд</t>
  </si>
  <si>
    <t>Замена и посадка BGA-чипов, трафареты, шарики, паяльная паста</t>
  </si>
  <si>
    <t>BGA пайка, реболлинг, паяльная паста BGA, трафарет BGA, нижний подогрев</t>
  </si>
  <si>
    <t>Припой для пайки: виды и как выбрать правильный</t>
  </si>
  <si>
    <t>supereyes.ru, est-smt.ru, YouTube</t>
  </si>
  <si>
    <t>pripoj-dlya-pajki-vidy</t>
  </si>
  <si>
    <t>Нет простого пошагового текстового руководства для новичков без перегрузки промышленными терминами.</t>
  </si>
  <si>
    <t>https://habr.com/ru/companies/ruvds/articles/1025162/</t>
  </si>
  <si>
    <t>АПаем возможности паять: переход на новый паяльник</t>
  </si>
  <si>
    <t>-&gt; #16 (/pos-61-i-pos-40-raznica) [сравнение ПОС-61 и ПОС-40]; -&gt; #17 (/bessvincovyj-pripoj) [бессвинцовые припои]; -&gt; #18 (/pripoj-s-flyusom-vnutri) [трубчатый припой с флюсом]; -&gt; #52 (/payalnaya-pasta-ili-pripoj) [паяльная паста vs припой]</t>
  </si>
  <si>
    <t>Переход на новый паяльник</t>
  </si>
  <si>
    <t>23-04-2026</t>
  </si>
  <si>
    <t>обзор / выбор</t>
  </si>
  <si>
    <t>Смарт-паяльники Type-C</t>
  </si>
  <si>
    <t>ПОС-61 и ПОС-40: в чём разница и что выбрать</t>
  </si>
  <si>
    <t>pos-61-i-pos-40-raznica</t>
  </si>
  <si>
    <t>Портативные паяльники с поддержкой PD/QC, OLED-экраном и прошивкой IronOS</t>
  </si>
  <si>
    <t>смарт паяльник type-c, TS101 vs Pinecil V2, паяльник от повербанка, IronOS прошивка</t>
  </si>
  <si>
    <t>-&gt; #15 (/pripoj-dlya-pajki-vidy) [все виды припоев]; -&gt; #1 (/kak-payat-payalnikom-dlya-nachinayuschih) [пайка припоем ПОС-61]</t>
  </si>
  <si>
    <t>buyer's guide / обзор</t>
  </si>
  <si>
    <t>https://supereyes.ru/articles/soldering_bga_reballing/luchshie-payalnye-stantsii-2025/</t>
  </si>
  <si>
    <t>Лучшие паяльные станции: рейтинг и обзор</t>
  </si>
  <si>
    <t>Лучшие паяльные станции 2025–2026</t>
  </si>
  <si>
    <t>habr.com, mysku.club, YouTube</t>
  </si>
  <si>
    <t>28-10-2025</t>
  </si>
  <si>
    <t>Отсутствует единый гайд по выбору блоков питания Power Delivery и настройке профилей нагрева.</t>
  </si>
  <si>
    <t>Бессвинцовый припой: плюсы, минусы, когда использовать</t>
  </si>
  <si>
    <t>bessvincovyj-pripoj</t>
  </si>
  <si>
    <t>-&gt; #15 (/pripoj-dlya-pajki-vidy) [классификация припоев]; -&gt; #43 (/tehnika-bezopasnosti-pri-pajke) [безопасность при работе со свинцом]</t>
  </si>
  <si>
    <t>https://habr.com/ru/articles/790806/</t>
  </si>
  <si>
    <t>Пайка компонентов в корпусе 0201</t>
  </si>
  <si>
    <t>01-02-2024</t>
  </si>
  <si>
    <t>Паяльные пасты и химия</t>
  </si>
  <si>
    <t>Использование паяльной пасты, гелей, легкоплавких сплавов Розе/Вуда</t>
  </si>
  <si>
    <t>Припой с флюсом внутри: что это и зачем нужен</t>
  </si>
  <si>
    <t>паяльная паста, чем отличается паста от припоя, шприц с пастой Sn63Pb37</t>
  </si>
  <si>
    <t>pripoj-s-flyusom-vnutri</t>
  </si>
  <si>
    <t>обучающий / гайд</t>
  </si>
  <si>
    <t>https://www.youtube.com/watch?v=rJ1bduQadqk</t>
  </si>
  <si>
    <t>-&gt; #15 (/pripoj-dlya-pajki-vidy) [марки припоев]; -&gt; #20 (/flyus-dlya-pajki-kakoj-vybrat) [выбор флюса]</t>
  </si>
  <si>
    <t>BGA пайка ЕММС с помощью паяльной пасты</t>
  </si>
  <si>
    <t>BGA пайка ЕММС пастой</t>
  </si>
  <si>
    <t>supereyes.ru, ozon.ru</t>
  </si>
  <si>
    <t>20-12-2022</t>
  </si>
  <si>
    <t>youtube.com / RemTV</t>
  </si>
  <si>
    <t>Мало материалов с наглядным сравнением: когда брать проволочный припой, а когда пасту в шприце.</t>
  </si>
  <si>
    <t>Какой диаметр припоя выбрать для разных работ</t>
  </si>
  <si>
    <t>diametr-pripoya-dlya-rabot</t>
  </si>
  <si>
    <t>Оптические приборы / Микроскопы</t>
  </si>
  <si>
    <t>-&gt; #15 (/pripoj-dlya-pajki-vidy) [виды припоев]; -&gt; #30 (/smd-pajka-svoimi-rukami) [припой для SMD]</t>
  </si>
  <si>
    <t>Выбор и использование микроскопа для ремонта и контроля пайки</t>
  </si>
  <si>
    <t>микроскоп для пайки, оптический микроскоп плата, цифровой USB микроскоп</t>
  </si>
  <si>
    <t>supereyes.ru, mysku.club</t>
  </si>
  <si>
    <t>Отсутствует статья с тестом задержки вывода изображения (Input Lag) у бюджетных цифровых микроскопов.</t>
  </si>
  <si>
    <t>Флюс для пайки: какой выбрать и как использовать</t>
  </si>
  <si>
    <t>flyus-dlya-pajki-kakoj-vybrat</t>
  </si>
  <si>
    <t>-&gt; #21 (/kanifol-ili-zhidkij-flyus) [канифоль или жидкий флюс]; -&gt; #22 (/aktivnyj-flyus-kak-smyt) [активный флюс]; -&gt; #23 (/flyus-rma-i-ra-otlichiya) [маркировки RMA и RA]; -&gt; #52 (/payalnaya-pasta-ili-pripoj) [флюс-гель и паста]</t>
  </si>
  <si>
    <t>Канифоль или жидкий флюс: что лучше для новичка</t>
  </si>
  <si>
    <t>kanifol-ili-zhidkij-flyus</t>
  </si>
  <si>
    <t>-&gt; #20 (/flyus-dlya-pajki-kakoj-vybrat) [все виды флюсов]; -&gt; #1 (/kak-payat-payalnikom-dlya-nachinayuschih) [нанесение флюса при пайке]</t>
  </si>
  <si>
    <t>Активный флюс: когда использовать и как смыть остатки</t>
  </si>
  <si>
    <t>aktivnyj-flyus-kak-smyt</t>
  </si>
  <si>
    <t>-&gt; #20 (/flyus-dlya-pajki-kakoj-vybrat) [выбор нейтрального флюса]; -&gt; #29 (/peregrev-komponentov-pri-pajke) [промывка платы от флюса]</t>
  </si>
  <si>
    <t>Флюс RMA и RA: расшифровка маркировки и отличия</t>
  </si>
  <si>
    <t>flyus-rma-i-ra-otlichiya</t>
  </si>
  <si>
    <t>-&gt; #20 (/flyus-dlya-pajki-kakoj-vybrat) [классификация флюсов]; -&gt; #30 (/smd-pajka-svoimi-rukami) [флюс-гель для SMD]</t>
  </si>
  <si>
    <t>Как сделать флюс в домашних условиях</t>
  </si>
  <si>
    <t>kak-sdelat-flyus-doma</t>
  </si>
  <si>
    <t>-&gt; #20 (/flyus-dlya-pajki-kakoj-vybrat) [готовые флюсы]; -&gt; #21 (/kanifol-ili-zhidkij-flyus) [спиртоканифольный флюс СКФ]</t>
  </si>
  <si>
    <t>5 типичных ошибок новичка при пайке и как их избежать</t>
  </si>
  <si>
    <t>oshibki-novichka-pri-pajke</t>
  </si>
  <si>
    <t>топ ошибок</t>
  </si>
  <si>
    <t>-&gt; #26 (/holodnaya-pajka-kak-raspoznat) [дефект холодной пайки]; -&gt; #27 (/pripoj-ne-plavitsya-prichiny) [почему припой скатывается]; -&gt; #28 (/kak-ubrat-most-pripoya) [как убрать мостик припоя]; -&gt; #29 (/peregrev-komponentov-pri-pajke) [перегрев деталей]</t>
  </si>
  <si>
    <t>Холодная пайка: как распознать и переделать</t>
  </si>
  <si>
    <t>holodnaya-pajka-kak-raspoznat</t>
  </si>
  <si>
    <t>-&gt; #25 (/oshibki-novichka-pri-pajke) [все ошибки новичка]; -&gt; #1 (/kak-payat-payalnikom-dlya-nachinayuschih) [правильный прогрев контакта]</t>
  </si>
  <si>
    <t>Почему припой не плавится или скатывается: причины</t>
  </si>
  <si>
    <t>pripoj-ne-plavitsya-prichiny</t>
  </si>
  <si>
    <t>проблема-решение</t>
  </si>
  <si>
    <t>-&gt; #25 (/oshibki-novichka-pri-pajke) [типичные проблемы пайки]; -&gt; #42 (/kak-chistit-i-ludit-zhalo) [чистка и лужение жала]</t>
  </si>
  <si>
    <t>Как убрать мост припоя между контактами</t>
  </si>
  <si>
    <t>kak-ubrat-most-pripoya</t>
  </si>
  <si>
    <t>-&gt; #25 (/oshibki-novichka-pri-pajke) [дефекты пайки]; -&gt; #39 (/opletka-dlya-snyatiya-pripoya) [удаление припоя медной оплеткой]</t>
  </si>
  <si>
    <t>Перегрев компонентов при пайке: как не сжечь деталь</t>
  </si>
  <si>
    <t>peregrev-komponentov-pri-pajke</t>
  </si>
  <si>
    <t>-&gt; #25 (/oshibki-novichka-pri-pajke) [ошибки при пайке]; -&gt; #8 (/moschnost-payalnika-dlya-zadach) [настройка температуры паяльника]</t>
  </si>
  <si>
    <t>SMD пайка своими руками: как паять мелкие компоненты</t>
  </si>
  <si>
    <t>smd-pajka-svoimi-rukami</t>
  </si>
  <si>
    <t>-&gt; #31 (/smd-ili-dip-chem-otlichayutsya) [разница SMD и DIP]; -&gt; #32 (/kak-payat-smd-bez-fena) [пайка SMD без фена]; -&gt; #33 (/termofen-dlya-pajki-vybor) [термофен для SMD]; -&gt; #58 (/pajka-komponentov-0201-0402) [пайка 0201 и 0402]</t>
  </si>
  <si>
    <t>SMD или DIP: чем отличаются и что выбрать для проекта</t>
  </si>
  <si>
    <t>smd-ili-dip-chem-otlichayutsya</t>
  </si>
  <si>
    <t>-&gt; #1 (/kak-payat-payalnikom-dlya-nachinayuschih) [пайка DIP элементов]; -&gt; #30 (/smd-pajka-svoimi-rukami) [ручная пайка SMD]</t>
  </si>
  <si>
    <t>Как паять SMD без паяльной станции с горячим воздухом</t>
  </si>
  <si>
    <t>kak-payat-smd-bez-fena</t>
  </si>
  <si>
    <t>-&gt; #30 (/smd-pajka-svoimi-rukami) [гайд по SMD пайке]; -&gt; #39 (/opletka-dlya-snyatiya-pripoya) [демонтаж оплеткой]</t>
  </si>
  <si>
    <t>Термофен для пайки: нужен ли новичку и как выбрать</t>
  </si>
  <si>
    <t>termofen-dlya-pajki-vybor</t>
  </si>
  <si>
    <t>-&gt; #30 (/smd-pajka-svoimi-rukami) [ручной монтаж SMD]; -&gt; #7 (/payalnaya-stanciya-ili-payalnik) [комбо-станции с феном]</t>
  </si>
  <si>
    <t>Пайка платы телефона: что нужно знать перед началом</t>
  </si>
  <si>
    <t>pajka-platy-telefona</t>
  </si>
  <si>
    <t>-&gt; #35 (/kak-perepayat-razyom-zaryadki) [замена разъёма Type-C]; -&gt; #36 (/remont-naushnikov-pajka) [пайка шнуров и наушников]; -&gt; #37 (/kak-vypayat-detal-s-platy) [выпайка деталей с платы]; -&gt; #51 (/payka-bga-rebolling-dlya-nachinayushchih) [реболлинг BGA чипов]</t>
  </si>
  <si>
    <t>Как перепаять разъём зарядки на плате</t>
  </si>
  <si>
    <t>kak-perepayat-razyom-zaryadki</t>
  </si>
  <si>
    <t>-&gt; #34 (/pajka-platy-telefona) [пайка плат телефонов]; -&gt; #37 (/kak-vypayat-detal-s-platy) [демонтаж разъёма]</t>
  </si>
  <si>
    <t>Ремонт наушников своими руками: пайка проводов</t>
  </si>
  <si>
    <t>remont-naushnikov-pajka</t>
  </si>
  <si>
    <t>-&gt; #3 (/pajka-provodov-kak-soedinit) [пайка тонких проводов]; -&gt; #50 (/termousadka-posle-pajki) [изоляция термоусадкой]</t>
  </si>
  <si>
    <t>Как выпаять деталь с платы без повреждений</t>
  </si>
  <si>
    <t>kak-vypayat-detal-s-platy</t>
  </si>
  <si>
    <t>-&gt; #39 (/opletka-dlya-snyatiya-pripoya) [медная оплетка для демонтажа]; -&gt; #34 (/pajka-platy-telefona) [ремонт плат]</t>
  </si>
  <si>
    <t>Держатель для пайки (третья рука): нужен ли и какой выбрать</t>
  </si>
  <si>
    <t>derzhatel-dlya-pajki-tretya-ruka</t>
  </si>
  <si>
    <t>-&gt; #39 (/opletka-dlya-snyatiya-pripoya) [медная оплетка]; -&gt; #40 (/podstavka-i-gubka-dlya-payalnika) [подставка под паяльник]; -&gt; #53 (/vybor-mikroskopa-dlya-pajki) [микроскопы для пайки]</t>
  </si>
  <si>
    <t>Оплётка для снятия припоя: как использовать правильно</t>
  </si>
  <si>
    <t>opletka-dlya-snyatiya-pripoya</t>
  </si>
  <si>
    <t>-&gt; #38 (/derzhatel-dlya-pajki-tretya-ruka) [оснастка для пайки]; -&gt; #28 (/kak-ubrat-most-pripoya) [устранение мостиков припоя]</t>
  </si>
  <si>
    <t>Подставка и губка для паяльника: зачем нужны</t>
  </si>
  <si>
    <t>podstavka-i-gubka-dlya-payalnika</t>
  </si>
  <si>
    <t>-&gt; #38 (/derzhatel-dlya-pajki-tretya-ruka) [оснастка]; -&gt; #42 (/kak-chistit-i-ludit-zhalo) [губка и стружка для очистки жала]</t>
  </si>
  <si>
    <t>Жало для паяльника: типы, уход, когда менять</t>
  </si>
  <si>
    <t>zhalo-dlya-payalnika-tipy</t>
  </si>
  <si>
    <t>-&gt; #42 (/kak-chistit-i-ludit-zhalo) [чистка и лужение жала]; -&gt; #13 (/payalniki-t12-obzor) [жала системы T12]</t>
  </si>
  <si>
    <t>Как правильно чистить и лудить жало паяльника</t>
  </si>
  <si>
    <t>kak-chistit-i-ludit-zhalo</t>
  </si>
  <si>
    <t>-&gt; #41 (/zhalo-dlya-payalnika-tipy) [типы жал]; -&gt; #27 (/pripoj-ne-plavitsya-prichiny) [очистка почерневшего жала]</t>
  </si>
  <si>
    <t>Техника безопасности при пайке: что важно соблюдать</t>
  </si>
  <si>
    <t>tehnika-bezopasnosti-pri-pajke</t>
  </si>
  <si>
    <t>-&gt; #44 (/vreden-li-dym-ot-flyusa) [вред дыма от канифоли]; -&gt; #45 (/ventilyaciya-dlya-pajki) [вытяжка для пайки]; -&gt; #17 (/bessvincovyj-pripoj) [свинец в припое]</t>
  </si>
  <si>
    <t>Вреден ли дым от флюса и как защититься</t>
  </si>
  <si>
    <t>vreden-li-dym-ot-flyusa</t>
  </si>
  <si>
    <t>-&gt; #43 (/tehnika-bezopasnosti-pri-pajke) [техника безопасности]; -&gt; #45 (/ventilyaciya-dlya-pajki) [дымоуловитель для пайки]</t>
  </si>
  <si>
    <t>Вентиляция и вытяжка для рабочего места пайки</t>
  </si>
  <si>
    <t>ventilyaciya-dlya-pajki</t>
  </si>
  <si>
    <t>-&gt; #43 (/tehnika-bezopasnosti-pri-pajke) [безопасность дома]; -&gt; #46 (/kak-organizovat-mesto-dlya-pajki) [оборудование рабочего места]</t>
  </si>
  <si>
    <t>Как организовать рабочее место для пайки дома</t>
  </si>
  <si>
    <t>kak-organizovat-mesto-dlya-pajki</t>
  </si>
  <si>
    <t>-&gt; #47 (/nabor-instrumentov-dlya-nachinayuschih) [инструменты радиолюбителя]; -&gt; #45 (/ventilyaciya-dlya-pajki) [вентиляция и вытяжка]</t>
  </si>
  <si>
    <t>Набор инструментов для начинающего радиолюбителя</t>
  </si>
  <si>
    <t>nabor-instrumentov-dlya-nachinayuschih</t>
  </si>
  <si>
    <t>-&gt; #46 (/kak-organizovat-mesto-dlya-pajki) [организация рабочего места]; -&gt; #2 (/s-chego-nachat-pajku) [минимальный набор]; -&gt; #6 (/kakoj-payalnik-vybrat) [выбор паяльника]</t>
  </si>
  <si>
    <t>Пайка алюминия: особенности и какой припой использовать</t>
  </si>
  <si>
    <t>pajka-alyuminiya-osobennosti</t>
  </si>
  <si>
    <t>-&gt; #22 (/aktivnyj-flyus-kak-smyt) [активный флюс для алюминия]; -&gt; #15 (/pripoj-dlya-pajki-vidy) [припой HTS-2000]</t>
  </si>
  <si>
    <t>Пайка нержавейки: можно ли и как это сделать</t>
  </si>
  <si>
    <t>pajka-nerzhavejki</t>
  </si>
  <si>
    <t>-&gt; #22 (/aktivnyj-flyus-kak-smyt) [ортофосфорная кислота]; -&gt; #48 (/pajka-alyuminiya-osobennosti) [пайка сложных металлов]</t>
  </si>
  <si>
    <t>Термоусадка после пайки: как использовать правильно</t>
  </si>
  <si>
    <t>termousadka-posle-pajki</t>
  </si>
  <si>
    <t>-&gt; #3 (/pajka-provodov-kak-soedinit) [пайка и изоляция проводов]; -&gt; #36 (/remont-naushnikov-pajka) [ремонт кабеля]</t>
  </si>
  <si>
    <t>Пайка BGA микросхем для начинающих: что такое реболлинг и как его сделать</t>
  </si>
  <si>
    <t>payka-bga-rebolling-dlya-nachinayushchih</t>
  </si>
  <si>
    <t>-&gt; #56 (/trafarety-i-shariki-dlya-bga) [накатка шаров на трафарете]; -&gt; #59 (/nizhnij-podogrev-dlya-pajki) [нижний подогрев для BGA]; -&gt; #52 (/payalnaya-pasta-ili-pripoj) [паяльная паста BGA]</t>
  </si>
  <si>
    <t>Паяльная паста или припой в проволоке: что выбрать и в чём разница</t>
  </si>
  <si>
    <t>payalnaya-pasta-ili-pripoj</t>
  </si>
  <si>
    <t>сравнение / гайд</t>
  </si>
  <si>
    <t>-&gt; #15 (/pripoj-dlya-pajki-vidy) [проволочный припой]; -&gt; #55 (/kak-payat-payalnoj-pastoj-bez-fena) [пайка пастой дома]; -&gt; #20 (/flyus-dlya-pajki-kakoj-vybrat) [флюс-гели]</t>
  </si>
  <si>
    <t>Как выбрать микроскоп для пайки плат: оптика vs цифра с HDMI/Type-C</t>
  </si>
  <si>
    <t>vybor-mikroskopa-dlya-pajki</t>
  </si>
  <si>
    <t>-&gt; #30 (/smd-pajka-svoimi-rukami) [пайка мелких планарных чипов]; -&gt; #38 (/derzhatel-dlya-pajki-tretya-ruka) [оснастка]</t>
  </si>
  <si>
    <t>Смарт-паяльники на Type-C: обзор и сравнение TS101, Pinecil V2 и FNC88</t>
  </si>
  <si>
    <t>smart-payalniki-type-c-obzor</t>
  </si>
  <si>
    <t>рейтинг / обзор</t>
  </si>
  <si>
    <t>-&gt; #6 (/kakoj-payalnik-vybrat) [выбор смарт-паяльника]; -&gt; #57 (/proshivka-ironos-dlya-payalnikov) [прошивка IronOS]; -&gt; #60 (/kak-payat-ot-powerbanka-pd-qc) [питание от Power Delivery]</t>
  </si>
  <si>
    <t>Как паять паяльной пастой без фена и печи: пошаговый метод</t>
  </si>
  <si>
    <t>kak-payat-payalnoj-pastoj-bez-fena</t>
  </si>
  <si>
    <t>-&gt; #52 (/payalnaya-pasta-ili-pripoj) [выбор паяльной пасты]; -&gt; #30 (/smd-pajka-svoimi-rukami) [ручной SMD монтаж]</t>
  </si>
  <si>
    <t>Трафареты и шарики для BGA: как правильно накатать шары на чип</t>
  </si>
  <si>
    <t>trafarety-i-shariki-dlya-bga</t>
  </si>
  <si>
    <t>-&gt; #51 (/payka-bga-rebolling-dlya-nachinayushchih) [реболлинг BGA]; -&gt; #59 (/nizhnij-podogrev-dlya-pajki) [термостол]</t>
  </si>
  <si>
    <t>Прошивка IronOS для паяльников TS100, TS101 и Pinecil: зачем менять и как настроить</t>
  </si>
  <si>
    <t>proshivka-ironos-dlya-payalnikov</t>
  </si>
  <si>
    <t>-&gt; #54 (/smart-payalniki-type-c-obzor) [смарт-паяльники TS101 и Pinecil]; -&gt; #60 (/kak-payat-ot-powerbanka-pd-qc) [настройка профилей мощности]</t>
  </si>
  <si>
    <t>Ручная пайка мелких компонентов 0201 и 0402: технологии и инструменты</t>
  </si>
  <si>
    <t>pajka-komponentov-0201-0402</t>
  </si>
  <si>
    <t>-&gt; #30 (/smd-pajka-svoimi-rukami) [базовый SMD монтаж]; -&gt; #53 (/vybor-mikroskopa-dlya-pajki) [микроскоп для мелких чипов]</t>
  </si>
  <si>
    <t>Нижний подогрев для пайки плат: зачем нужен и как выбрать термостол</t>
  </si>
  <si>
    <t>nizhnij-podogrev-dlya-pajki</t>
  </si>
  <si>
    <t>-&gt; #51 (/payka-bga-rebolling-dlya-nachinayushchih) [BGA монтаж]; -&gt; #56 (/trafarety-i-shariki-dlya-bga) [трафареты BGA]</t>
  </si>
  <si>
    <t>Как паять от повербанка: протоколы Power Delivery (PD) и Quick Charge (QC)</t>
  </si>
  <si>
    <t>kak-payat-ot-powerbanka-pd-qc</t>
  </si>
  <si>
    <t>-&gt; #54 (/smart-payalniki-type-c-obzor) [паяльники Type-C]; -&gt; #57 (/proshivka-ironos-dlya-payalnikov) [настройка параметров IronOS]</t>
  </si>
  <si>
    <t>ID_источника</t>
  </si>
  <si>
    <t>заголовок_источника</t>
  </si>
  <si>
    <t>slug_источника</t>
  </si>
  <si>
    <t>ID_цели</t>
  </si>
  <si>
    <t>slug_цели</t>
  </si>
  <si>
    <t>анкорный_текст</t>
  </si>
  <si>
    <t>тип_связи</t>
  </si>
  <si>
    <t>что купить новичку</t>
  </si>
  <si>
    <t>Контекстная перелинковка</t>
  </si>
  <si>
    <t>выбор припоя ПОС-61</t>
  </si>
  <si>
    <t>применение флюса</t>
  </si>
  <si>
    <t>типичные ошибки новичков</t>
  </si>
  <si>
    <t>пошаговая техника пайки</t>
  </si>
  <si>
    <t>как выбрать паяльник</t>
  </si>
  <si>
    <t>набор инструментов радиолюбителя</t>
  </si>
  <si>
    <t>базовый гайд по пайке</t>
  </si>
  <si>
    <t>припой для медных жил</t>
  </si>
  <si>
    <t>изоляция термоусадкой</t>
  </si>
  <si>
    <t>пошаговый алгоритм</t>
  </si>
  <si>
    <t>причины брака</t>
  </si>
  <si>
    <t>лужение жала</t>
  </si>
  <si>
    <t>маломощный паяльник</t>
  </si>
  <si>
    <t>техника безопасности</t>
  </si>
  <si>
    <t>паяльник или станция</t>
  </si>
  <si>
    <t>подбор мощности</t>
  </si>
  <si>
    <t>ТОП паяльников 2026</t>
  </si>
  <si>
    <t>смарт-паяльники Type-C</t>
  </si>
  <si>
    <t>бюджетные паяльные станции</t>
  </si>
  <si>
    <t>термофен для SMD</t>
  </si>
  <si>
    <t>выбор паяльника</t>
  </si>
  <si>
    <t>защита деталей от перегрева</t>
  </si>
  <si>
    <t>сетевые паяльники</t>
  </si>
  <si>
    <t>пайка вне дома</t>
  </si>
  <si>
    <t>критерии выбора паяльника</t>
  </si>
  <si>
    <t>ручная пайка SMD</t>
  </si>
  <si>
    <t>микрожала для SMD</t>
  </si>
  <si>
    <t>параметры выбора</t>
  </si>
  <si>
    <t>станции до 5000 рублей</t>
  </si>
  <si>
    <t>паяльники T12</t>
  </si>
  <si>
    <t>общий рейтинг паяльников</t>
  </si>
  <si>
    <t>станция или паяльник</t>
  </si>
  <si>
    <t>рейтинг домашних паяльников</t>
  </si>
  <si>
    <t>картриджи и жала T12</t>
  </si>
  <si>
    <t>ID_темы</t>
  </si>
  <si>
    <t>Заголовок</t>
  </si>
  <si>
    <t>Slug</t>
  </si>
  <si>
    <t>Кластер</t>
  </si>
  <si>
    <t>Текст_статьи</t>
  </si>
  <si>
    <t>Кол-во_символов</t>
  </si>
  <si>
    <t>Статус</t>
  </si>
  <si>
    <t>Дата_создания</t>
  </si>
  <si>
    <t>ТОП паяльников</t>
  </si>
  <si>
    <t>стандарты жал Hakko</t>
  </si>
  <si>
    <t>1.0</t>
  </si>
  <si>
    <t>сравнение ПОС-61 и ПОС-40</t>
  </si>
  <si>
    <t xml:space="preserve">---
title: "Как паять паяльником: пошаговый гайд для начинающих"
slug: "kak-payat-payalnikom-dlya-nachinayuschih"
meta_description: "Как правильно паять паяльником дома: выбор температуры, флюса, припоя ПОС-61 и пошаговый разбор 4 шагов идеального паяного контакта."
cluster: "Основы пайки / Как паять"
---
# Как паять паяльником: пошаговый гайд для начинающих
## Краткий ответ
Правильная пайка паяльником заключается в одновременном нагреве выводов детали и медной площадки платы с последующей подачей припоя в зону контакта. Ключевые условия качественного соединения: предварительно очищенное и залуженное жало, обязательное нанесение флюса (канифоль или жидкий ЛТИ-120) и использование трубчатого припоя ПОС-61 при температуре жала 280–320°C. Время контакта жала с деталью не должно превышать 2–3 секунд.
## Почему здесь часто ошибаются
Новичок смотрит на цену и берёт дешевый паяльник за 400 рублей без регулировки температуры. Жало раскаляется до 450–500°C, флюс сгорает и обугливается за секунду, а припой скатывается сухим матовым шариком и не липнет к плате. Дело не в отсутствии опыта: инструмент без термостабилизации мгновенно уничтожает химию процесса.
Обратная ошибка — сразу купить профессиональную станцию за 12 000–18 000 рублей, если паять нужно пару раз в год. Это деньги впустую: компактный смарт-паяльник с терморегулировкой за 2 500–4 000 рублей закрывает 95% задач в домашней мастерской.
## Что понадобится
**Для оценки выбора:**
- Понимание своих задач: пайка проводов в авто, сборка электроники на платах, SMD-компоненты или ремонт бытовой техники
- Бюджет: базовые паяльники с регулятором — 700–1 500 ₽; смарт-паяльники (Pinecil V2, TS101) — 2 500–4 000 ₽; паяльные станции T12 — 3 500–6 000 ₽
**Для самой пайки:**
- Паяльник или станция с регулировкой температуры (обязательно)
- Припой ПОС-61 с каналом канифоли внутри (диаметр 0,8–1,0 мм)
- Флюс — сосновая канифоль или нейтральный гель ЛТИ-120
- Подставка, латунная стружка для очистки жала или влажная губка
## Чем реально отличается пайка с термоконтролем от обычной
Обычный паяльник без регулятора непрерывно греется на максимуме, выжигая флюс и перегревая медные дорожки текстолита. Инструмент с PID-регулятором поддерживает заданные 300°C: при касании холодной детали электроника увеличивает подачу мощности, не давая жалу остыть.
Смарт-паяльник вроде Pinecil V2 или TS101 совмещает компактность и точность станции: PID-контроллер встроен прямо в ручку, а заземленный корпус USB-C защищает чувствительные микросхемы от статического электричества.
| Параметр | Паяльник без регулировки | Смарт-паяльник (Pinecil V2, TS101) | Паяльная станция (T12, KSGER) |
|---|---|---|---|
| Контроль температуры | Нет (разогрев до 450°C) | PID, точность ±5°C | PID, точность ±2°C |
| Наличие ESD-защиты | Нет | Через заземление USB-C | Полная (ручка + корпус) |
| Скорость нагрева | 3–5 минут | 10–15 секунд | 8–15 секунд |
| Тип используемых жал | Медный стержень / 900M | Картриджи T12 / TS | Картриджи T12 / C245 |
| Цена инструмента | 300–800 ₽ | 2 500–4 000 ₽ | 3 500–8 000 ₽ |
| Подходит для плат | Нет (высокий брак) | Да | Да |
## Пошаговая инструкция: как правильно паять
### Шаг 1. Очисти и залуди жало паяльника
Включи паяльник и установи температуру 300°C. Когда жало прогреется, опусти кончик в канифоль и коснись проволочки припоя. Кончик жала должен стать идеально блестящим и серебристым.
&gt; ✓ Индикатор: припой распределился по кончику жала ровной блестящей пленкой без черного нагара.
### Шаг 2. Нанеси флюс на место соединения
Вставь вывод детали в отверстие платы. Кисточкой или дозатором нанеси капли жидкого флюса ЛТИ-120 или геля прямо на медный пятачок и вывод.
&gt; ✓ Индикатор: флюс полностью смачивает и вывод детали, и медное кольцо на плате.
### Шаг 3. Нагрей контакт и подай припой
Прикоснись плоскостью жала одновременно к выводу детали и к площадке платы. Подержи 1–1.5 секунды для прогрева металла, затем поднеси проволоку припоя в точку контакта (не на само жало).
&gt; ✓ Индикатор: припой мгновенно плавится от тепла деталей и сам втягивается в отверстие платы.
### Шаг 4. Охлади контакт без движения
Убери проволоку припоя, через 0.5 секунды сними паяльник. Зафиксируй деталь на 2–3 секунды до полного застывания олова. Не дуй на шов.
&gt; ✓ Индикатор: сформировался гладкий блестящий конус припоя без трещин и шероховатостей.
## Интерактивная таблица выбора: задача → инструмент → бюджет
| Задача | Рекомендованный инструмент | Ориентировочный бюджет |
|---|---|---|
| Пайка проводов в авто, клемм, редкий ремонт | Смарт-паяльник TS101 или ЭПСН с регулятором | 1 200–3 500 ₽ |
| Сборка платок, радиокружок, хобби | Смарт-паяльник Pinecil V2 / станция T12 | 3 000–5 000 ₽ |
| Ремонт SMD-электроники, микросхем, телефонов | Паяльная станция T12 / C245 с термофеном | 6 000–12 000 ₽ |
## Частые ошибки
**Симптом:** Припой скатывается шариком с вывода и не растекается по медной площадке.  
**Причина:** Отсутствие флюса или сильное окисление меди. Без флюса оксидная пленка не дает олову вступить в диффузию с медью.  
**Решение:** Очистить деталь, обильно нанести канифоль или ЛТИ-120 и повторить нагрев.
**Симптом:** Медная дорожка отклеилась и отвалилась от текстолитового основания платы.  
**Причина:** Перегрев детали. Паяльник удерживался на контакте дольше 5 секунд или температура была выше 350°C.  
**Решение:** Работать при температуре 280–320°C и не держать жало на плате дольше 3 секунд.
## Безопасность
Никогда не кладите горячий паяльник на стол — используйте только подставку с металлической стружкой или губкой. Работайте в проветриваемом помещении или включайте вытяжку: пары флюса и канифоли при регулярном вдыхании раздражают дыхательные пути.
Если используете паяльную станцию, проверьте сопротивление между земляным контактом вилки 220В и жалом паяльника — оно должно быть ≤1 Ом. Это залог безопасности чувствительных микросхем.
## Итог и совет мастера
Главный секрет качественной пайки — это триада: температура 300°C, качественный флюс и припой ПОС-61. Если вы подбираете свой первый набор, загляните в подробный гид по [выбору паяльника для дома](/kakoj-payalnik-vybrat). А если вам интересно, как правильно подобрать сопутствующие материалы, прочитайте наше сравнение про [припои ПОС-61 и их аналоги](/pripoj-dlya-pajki-vidy).
А на чём паяете вы в своей мастерской? Поделитесь вашим сетапом в комментариях!
## FAQ
**Можно ли паять без флюса, используя только припой?**  
Нет, качественная пайка без флюса невозможна. Флюс растворяет оксидную пленку и снижает поверхностное натяжение припоя. Даже в проволочном припое с каналом канифоли часто требуется дополнительное нанесение жидкого флюса.
**Какая температура пайки считается оптимальной для радиодеталей?**  
Для стандартного свинцового припоя ПОС-61 оптимальная температура жала составляет 280–320°C. Для бессвинцовых припоев требуется 340–360°C.
**Чем залудить обгоревшее жало, если припой не липнет?**  
Очистите горячее жало о латунную стружку, погрузите в активатор жала (порошковый реаниматор) или канифоль с припоем и протрите влажной целлюлозной губкой.
</t>
  </si>
  <si>
    <t>поправлено прошло аудит</t>
  </si>
  <si>
    <t>бессвинцовые припои</t>
  </si>
  <si>
    <t>трубчатый припой с флюсом</t>
  </si>
  <si>
    <t>6.0</t>
  </si>
  <si>
    <t>--- title: "Какой паяльник выбрать: советы для новичка в 2026 году" slug: "kakoj-payalnik-vybrat" meta_description: "Гайд по выбору первого паяльника для дома: типы нагревателей (нихром, керамика, картриджи T12), мощность 60-80W, USB-C/PD смарт-паяльники (TS101, Pinecil V2) и паяльные станции." cluster: "Инструменты / Выбор паяльника" --- # Какой паяльник выбрать: советы для новичка в 2026 году ## Краткий ответ Для дома и старта в радиоэлектронике в 2026 году лучший выбор — смарт-паяльник с питанием от USB Type-C (TS101 или Pinecil V2) либо компактная паяльная станция на картриджах T12 (KSGER, Quicko). Они нагреваются за 8–10 секунд, точно держат температуру и безопасны для мелких компонентов. Обычные паяльники 220 В без регулировки температуры покупать не стоит: они перегревают детали, сжигают жало и флюс.</t>
  </si>
  <si>
    <t>Черновик</t>
  </si>
  <si>
    <t>паяльная паста vs припой</t>
  </si>
  <si>
    <t>--- title: "🔥 С чего начать пайку: выбираем стартовый набор и делаем первый идеальный спай" slug: "s-chego-nachat-pajku" meta_description: "Что нужно для первой пайки дома: паяльник, припой ПОС-61, флюс и пошаговая техника идеального спая." cluster: "Основы пайки / Стартовый набор" article_type: "guide" --- # 🔥 С чего начать пайку: выбираем стартовый набор и делаем первый идеальный спай *(Всего 4 вещи нужны для старта — разберём, зачем каждая)* ## Краткий ответ Чтобы начать паять дома прямо сейчас, вам не нужна дорогая паяльная станция за десятки тысяч рублей. Минимальный рабочий комплект состоит всего из четырёх позиций: паяльник мощностью 40–60 Вт с регулировкой температуры (или питанием от USB Type-C), оловянно-свинцовый припой ПОС-61, сосновая канифоль (или жидкий спиртоканифольный флюс СКФ) и латунная стружка для очистки жала. Главное правило новичка: не пытайтесь паять «сухим» жалом без флюса и не покупайте паяльники без терморегулятора на 220 В — они перегреваются до 400°C, сжигают флюс и портят дорожки на платах. ## 🧰 Что нужно купить для первого старта (и сколько это стоит) 1. Паяльник с регулировкой температуры (TS101, Pinecil V2 или станция T12). 2. Припой ПОС-61 (Sn60Pb40) 0.8–1.0 мм с флюсом внутри. 3. Флюс: сосновая канифоль (марка А) и жидкий СКФ. 4. Очиститель жала: латунная стружка и влажная губка. 5. Подставка для паяльника и ESD-пинцет.</t>
  </si>
  <si>
    <t>все виды припоев</t>
  </si>
  <si>
    <t>пайка припоем ПОС-61</t>
  </si>
  <si>
    <t>классификация припоев</t>
  </si>
  <si>
    <t>---
title: "🔥 Пайка проводов: как правильно соединить, спаять и надежно изолировать"
slug: "pajka-provodov-kak-soedinit"
description: "Пошаговый гайд по пайке медных проводов: выбор скрутки (Western Union), флюс, припой ПОС-61, лужение и термоусадка."
date: "2026-08-15"
author: "Точка плавления"
cluster: "Основы пайки / Как паять"
article_id: 3
---
# 🔥 Пайка проводов: как правильно соединить, спаять и надежно изолировать
Пайка проводов кажется элементарной задачей, но именно на ней часто горят новички. Самая распространенная ошибка — попытка «приклеить» два провода каплей олова сверху, не сделав плотной механической скрутки и не прогрев медь. Соединение получается рыхлым, быстро окисляется и отламывается от малейшей вибрации.
В этой инструкции мы разберем надежную технологию соединения многожильных и одножильных медных проводов, которая обеспечивает отличный электрический контакт и высокую механическую прочность.
---
## 📌 Краткий ответ: базовый алгоритм надежной пайки
Чтобы спаять два медных провода правильно и на десятилетия:
1. **Снимите изоляцию** на 20–25 мм и обязательно **наденьте термоусадку** на один из проводов до начала пайки.
2. **Сделайте плотную скрутку** (встречную *Western Union* для сращивания встык или параллельную для тупиковых ответвлений).
3. **Нанесите нейтральный флюс** (канифоль, СКФ или RMA-гель). Кислотные флюсы для многожильных проводов строго исключены.
4. **Прогрейте медь паяльником** (280–310°C) с каплей припоя ПОС-61 на жале для теплового контакта, затем подайте припой прямо на скрутку.
5. **Очистите остатки флюса** спиртом и осадите термоусадочную трубку с клеевым слоем.
👉 **Главный секрет мастера:** припой всегда бежит туда, где выше температура. Прогревайте саму медь, и расплав за счет капиллярных сил мгновенно втянется внутрь витков.
---
## 🧰 Что понадобится для работы
* **Паяльник:** мощность 40–65 Вт с термоконтролем (или смарт-паяльник TS101 / Pinecil). Рабочая температура жала — **280–310°C**.
* **Жало:** скошенное (Bevel) или плоская «отвертка» (2,0–3,2 мм). Тонкая коническая игла не прогреет провод из-за малой площади контакта.
* **Припой:** трубчатый легкоплавкий **ПОС-61** (Sn60Pb40) диаметром 0,8–1,0 мм с каналом канифоли внутри. Температура плавления — **183°C**.
* **Флюс:** спиртоканифольный нейтральный флюс (СКФ, ЛТИ-120) или флюс-гель RMA.
* **Изоляция:** термоусадочная трубка (ТУТ) с термоплавким клеем (коэффициент усадки 3:1).
* **Инструмент:** стриппер для зачистки, бокорезы, монтажный фен или зажигалка.
---
## 🔬 Физика процесса: почему пайка держится крепко
Медь на открытом воздухе покрыта тонкой оксидной пленкой CuO, препятствующей смачиванию. Флюс при нагреве растворяет оксиды, а расплавленный припой ПОС-61 образует с медью прочный интерметаллический слой Cu6Sn5.
Капиллярный эффект затягивает жидкий припой в зазоры между отдельными волосками жилы, превращая скрутку в единый монолит. Однако помните: пайка делает многожильный провод жестким. Механическую нагрузку на растяжение должна нести скрутка, а место перехода от жесткого припоя к гибкому проводу защищает термоусадочная трубка.
---
## 🪜 Пошаговая инструкция: от зачистки до термоусадки
### Шаг 1. 🔍 Подготовка жил и термоусадки
1. Снимите изоляцию на 20–30 мм стриппером, стараясь не перекусить тонкие медные жилки.
2. **Обязательно наденьте отрезок термоусадки** на один из проводов и сдвиньте его на 10–15 см от места пайки.
**Важно:** если не надеть термоусадку сейчас, после спайки проводов смонтировать ее уже не получится.
**✓ Индикатор успеха:** медь чистая, без надрезанных волосков, термоусадка отведена на безопасное расстояние от зоны нагрева.
---
### Шаг 2. 🌀 Выполнение плотной механической скрутки
* **Встречная скрутка (Western Union):** скрестите зачищенные концы под углом 90° и плотно навейте каждый провод вокруг соседнего (по 5–6 витков в каждую сторону). Это самое прочное соединение на разрыв.
* **Параллельная скрутка:** соедините провода параллельно и скрутите косичкой с помощью пассатижей.
**✓ Индикатор успеха:** витки лежат плотно, без торчащих проволочек, скрутка не расплетается при натяжении руками.
---
### Шаг 3. 🧪 Нанесение флюса
Нанесите 1–2 капли спиртоканифольного флюса (СКФ) или геля RMA на всю длину скрутки, чтобы жидкость проникла между жилами.
**✓ Индикатор успеха:** флюс равномерно смочил медь, при нагреве пахнет чистой сосновой смолой без едкого дыма.
---
### Шаг 4. ⏳ Прогрев и капиллярная пайка
1. Установите температуру паяльника на **290–300°C**.
2. Возьмите на кончик жала крошечную каплю припоя для создания «теплового мостика».
3. Прижмите жало к нижней части скрутки на 1,5–2 секунды, а пруток ПОС-61 подайте сверху.
4. Расплавленный припой сам втянется внутрь скрутки и равномерно зальет все витки.
5. Уберите припой, затем паяльник и дайте спаю остыть 3–4 секунды без малейших движений.
**Важно:** не дуйте на спай и не двигайте провода во время остывания, чтобы не вызвать микротрещины («холодная пайка»).
**✓ Индикатор успеха:** спай имеет чистый зеркальный блеск, витки скрутки просматриваются под тонким слоем припоя без комков и сосулек.
---
### Шаг 5. 🛡️ Очистка и изоляция термоусадкой
1. Протрите остывший спай спиртом для удаления остатков канифоли.
2. Надвиньте термоусадочную трубку так, чтобы она перекрывала изоляцию на 15–20 мм с обеих сторон.
3. Прогрейте трубку феном (120–140°C) от центра к краям до полной усадки.
**✓ Индикатор успеха:** термоусадка плотно обжала провод, клей выступил по краям тонким аккуратным валиком.
---
## ❌ Частые ошибки новичков при пайке проводов
* **Использование паяльной кислоты:**
  * **Симптом:** провод залудился мгновенно, но через пару месяцев медь позеленела и отвалилась.
  * **Физическая причина:** кислота по капиллярам затягивается под изоляцию на 3–5 см и разъедает медь изнутри.
  * **Что делать:** для проводов используйте только нейтральные флюсы (канифоль, СКФ, RMA).
* **Недостаточный прогрев («холодная пайка»):**
  * **Симптом:** припой лег рыхлым серым комком и отваливается от легкого рывка.
  * **Физическая причина:** жало грело только каплю припоя, а медь осталась холодной.
  * **Что делать:** прогревайте скрутку широкой гранью жала 1,5–2 секунды перед подачей прутка.
* **Перегрев изоляции:**
  * **Симптом:** штатная изоляция почернела и сползла.
  * **Физическая причина:** слишком долгое удержание паяльника (&gt;5 сек) или температура выше 350°C.
  * **Что делать:** паяйте быстро при температуре 290–300°C с качественным легкоплавким ПОС-61.
---
## ⚠️ Безопасность при работе
* **Вентиляция:** пары канифоли и спирта раздражают дыхательные пути. Работайте в проветриваемом помещении.
* **Защита глаз:** при откусывании жилок бокорезами надевайте защитные очки.
* **Гигиена:** после работы со свинцовым припоем ПОС-61 обязательно мойте руки с мылом.
---
## 💡 Секреты и тонкости мастера
1. **Тепловой мостик:** сухое жало передает тепло медленно. Микрокапля припоя на кончике жала в разы увеличивает площадь контакта.
2. **Ступенчатый стык в жгуте:** при пайке кабеля из нескольких жил смещайте места скруток на 15–20 мм. Жгут останется ровным и не образует толстой «шишки».
3. **Клеевая термоусадка:** в автомобиле и во влажных помещениях применяйте только термоусадку с клеем — она обеспечивает 100% герметичность.
---
## 🎯 Итог и совет мастера
**Совет мастера:** Пайка — это не лотерея и не тайная магия, а чистая физика смачивания и теплопередачи. Как только вы поймёте, как ведёт себя расплавленный припой и зачем металлу нужен флюс, надежные блестящие соединения начнут получаться сами собой с первого раза.
Качественная механическая скрутка, нейтральный флюс, быстрый прогрев припоем ПОС-61 и термоусадка с клеем — вот формула вечного соединения проводов. 
Для продолжения практики изучите наш [базовый гайд по пайке для начинающих](/kak-payat-payalnikom-dlya-nachinayuschih), узнайте, как выбрать [припой для медных жил](/pripoj-dlya-pajki-vidy), и посмотрите правила, по которым делается [изоляция термоусадкой после пайки](/termousadka-posle-pajki).
А какой способ соединения проводов чаще используете вы — пайку со скруткой, клеммы WAGO или опрессовку гильзами? Поделитесь вашим опытом в комментариях!
---
## ❓ Часто задаваемые вопросы (FAQ)
### Можно ли паять алюминиевый провод с медным?
Напрямую обычной пайкой с ПОС-61 и канифолью соединить медь с алюминием нельзя: образуется гальваническая пара, и алюминий быстро разрушится. Для перехода используются специальные клеммники с пастой или луженые медно-алюминиевые гильзы.
### Что надежнее в автопроводке — пайка или обжимка?
Опрессовка в гильзы предпочтительнее в местах с сильной вибрацией, так как провод сохраняет гибкость. Однако аккуратная пайка со встречной скруткой и длинной клеевой термоусадкой служит десятилетиями, если провод зафиксирован в жгуте стяжками.
### Обязательно ли смывать канифоль со спаянных проводов?
Канифоль — диэлектрик и не разъедает медь, но со временем на нее оседает пыль и влага. Промывка изопропиловым спиртом перед надеванием термоусадки гарантирует абсолютную чистоту контакта.</t>
  </si>
  <si>
    <t>безопасность при работе со свинцом</t>
  </si>
  <si>
    <t>марки припоев</t>
  </si>
  <si>
    <t>выбор флюса</t>
  </si>
  <si>
    <t>виды припоев</t>
  </si>
  <si>
    <t>припой для SMD</t>
  </si>
  <si>
    <t>канифоль или жидкий флюс</t>
  </si>
  <si>
    <t>активный флюс</t>
  </si>
  <si>
    <t>маркировки RMA и RA</t>
  </si>
  <si>
    <t>флюс-гель и паста</t>
  </si>
  <si>
    <t>все виды флюсов</t>
  </si>
  <si>
    <t>нанесение флюса при пайке</t>
  </si>
  <si>
    <t>выбор нейтрального флюса</t>
  </si>
  <si>
    <t>промывка платы от флюса</t>
  </si>
  <si>
    <t>классификация флюсов</t>
  </si>
  <si>
    <t>флюс-гель для SMD</t>
  </si>
  <si>
    <t>готовые флюсы</t>
  </si>
  <si>
    <t>спиртоканифольный флюс СКФ</t>
  </si>
  <si>
    <t>дефект холодной пайки</t>
  </si>
  <si>
    <t>почему припой скатывается</t>
  </si>
  <si>
    <t>как убрать мостик припоя</t>
  </si>
  <si>
    <t>перегрев деталей</t>
  </si>
  <si>
    <t>все ошибки новичка</t>
  </si>
  <si>
    <t>правильный прогрев контакта</t>
  </si>
  <si>
    <t>типичные проблемы пайки</t>
  </si>
  <si>
    <t>чистка и лужение жала</t>
  </si>
  <si>
    <t>дефекты пайки</t>
  </si>
  <si>
    <t>удаление припоя медной оплеткой</t>
  </si>
  <si>
    <t>ошибки при пайке</t>
  </si>
  <si>
    <t>настройка температуры паяльника</t>
  </si>
  <si>
    <t>разница SMD и DIP</t>
  </si>
  <si>
    <t>пайка SMD без фена</t>
  </si>
  <si>
    <t>пайка 0201 и 0402</t>
  </si>
  <si>
    <t>пайка DIP элементов</t>
  </si>
  <si>
    <t>гайд по SMD пайке</t>
  </si>
  <si>
    <t>демонтаж оплеткой</t>
  </si>
  <si>
    <t>ручной монтаж SMD</t>
  </si>
  <si>
    <t>комбо-станции с феном</t>
  </si>
  <si>
    <t>замена разъёма Type-C</t>
  </si>
  <si>
    <t>пайка шнуров и наушников</t>
  </si>
  <si>
    <t>выпайка деталей с платы</t>
  </si>
  <si>
    <t>реболлинг BGA чипов</t>
  </si>
  <si>
    <t>пайка плат телефонов</t>
  </si>
  <si>
    <t>демонтаж разъёма</t>
  </si>
  <si>
    <t>пайка тонких проводов</t>
  </si>
  <si>
    <t>медная оплетка для демонтажа</t>
  </si>
  <si>
    <t>ремонт плат</t>
  </si>
  <si>
    <t>медная оплетка</t>
  </si>
  <si>
    <t>подставка под паяльник</t>
  </si>
  <si>
    <t>микроскопы для пайки</t>
  </si>
  <si>
    <t>оснастка для пайки</t>
  </si>
  <si>
    <t>устранение мостиков припоя</t>
  </si>
  <si>
    <t>оснастка</t>
  </si>
  <si>
    <t>губка и стружка для очистки жала</t>
  </si>
  <si>
    <t>жала системы T12</t>
  </si>
  <si>
    <t>типы жал</t>
  </si>
  <si>
    <t>очистка почерневшего жала</t>
  </si>
  <si>
    <t>вред дыма от канифоли</t>
  </si>
  <si>
    <t>вытяжка для пайки</t>
  </si>
  <si>
    <t>свинец в припое</t>
  </si>
  <si>
    <t>дымоуловитель для пайки</t>
  </si>
  <si>
    <t>безопасность дома</t>
  </si>
  <si>
    <t>оборудование рабочего места</t>
  </si>
  <si>
    <t>инструменты радиолюбителя</t>
  </si>
  <si>
    <t>вентиляция и вытяжка</t>
  </si>
  <si>
    <t>организация рабочего места</t>
  </si>
  <si>
    <t>минимальный набор</t>
  </si>
  <si>
    <t>активный флюс для алюминия</t>
  </si>
  <si>
    <t>припой HTS-2000</t>
  </si>
  <si>
    <t>ортофосфорная кислота</t>
  </si>
  <si>
    <t>пайка сложных металлов</t>
  </si>
  <si>
    <t>пайка и изоляция проводов</t>
  </si>
  <si>
    <t>ремонт кабеля</t>
  </si>
  <si>
    <t>накатка шаров на трафарете</t>
  </si>
  <si>
    <t>нижний подогрев для BGA</t>
  </si>
  <si>
    <t>паяльная паста BGA</t>
  </si>
  <si>
    <t>проволочный припой</t>
  </si>
  <si>
    <t>пайка пастой дома</t>
  </si>
  <si>
    <t>флюс-гели</t>
  </si>
  <si>
    <t>пайка мелких планарных чипов</t>
  </si>
  <si>
    <t>выбор смарт-паяльника</t>
  </si>
  <si>
    <t>прошивка IronOS</t>
  </si>
  <si>
    <t>питание от Power Delivery</t>
  </si>
  <si>
    <t>выбор паяльной пасты</t>
  </si>
  <si>
    <t>ручной SMD монтаж</t>
  </si>
  <si>
    <t>реболлинг BGA</t>
  </si>
  <si>
    <t>термостол</t>
  </si>
  <si>
    <t>смарт-паяльники TS101 и Pinecil</t>
  </si>
  <si>
    <t>настройка профилей мощности</t>
  </si>
  <si>
    <t>базовый SMD монтаж</t>
  </si>
  <si>
    <t>микроскоп для мелких чипов</t>
  </si>
  <si>
    <t>BGA монтаж</t>
  </si>
  <si>
    <t>трафареты BGA</t>
  </si>
  <si>
    <t>паяльники Type-C</t>
  </si>
  <si>
    <t>настройка параметров IronOS</t>
  </si>
  <si>
    <t>Приоритет</t>
  </si>
  <si>
    <t>Планируемая_дата_публикации</t>
  </si>
  <si>
    <t>Интент_и_Этап_Воронки</t>
  </si>
  <si>
    <t>Боль_и_Психология_Читателя</t>
  </si>
  <si>
    <t>GEO_Сниппет_Шаблон</t>
  </si>
  <si>
    <t>E-E-A-T_Фактура</t>
  </si>
  <si>
    <t>Внедряемая_Фишечка</t>
  </si>
  <si>
    <t>LSI_и_Сущности</t>
  </si>
  <si>
    <t>Перелинковка_Исходящая</t>
  </si>
  <si>
    <t>Призыв_к_Диалогу</t>
  </si>
  <si>
    <t>Статус_ТЗ</t>
  </si>
  <si>
    <t>Дата_создания_ТЗ</t>
  </si>
  <si>
    <t>Факты_подтверждены</t>
  </si>
  <si>
    <t>Оценка_пользы_0_100</t>
  </si>
  <si>
    <t>Контентный_пробел</t>
  </si>
  <si>
    <t>2026-08-08</t>
  </si>
  <si>
    <t>Информационный / Пошаговое обучение (TOFU - Старт в теме)</t>
  </si>
  <si>
    <t>Страх сжечь радиодеталь, испортить плату или получить холодную пайку («серый матовый шарик»). Непонимание, зачем нужен флюс и почему припой не липнет к сухому жалу.</t>
  </si>
  <si>
    <t>Правильная пайка паяльником заключается в нагреве соединяемых выводов детали и контактной площадки платы с последующей подачей припоя в зону контакта. Ключевые условия: очищенное залуженное жало, использование флюса (канифоль/ЛТИ-120) и припоя ПОС-61 при температуре 280–320°C.</t>
  </si>
  <si>
    <t>Температура жала 280–320°C, припой ПОС-61 (плавление 183°C), флюс ЛТИ-120 / канифоль сосновая, время контакта 2–3 секунды, блестящий вогнутый галтель пайки.</t>
  </si>
  <si>
    <t>Интерактивный чек-лист самопроверки «4 признака идеального паяного шва»</t>
  </si>
  <si>
    <t>как паять паяльником, ПОС-61, флюс ЛТИ-120, залуживание жала, галтель пайки, холодная пайка, температура пайки, канифоль</t>
  </si>
  <si>
    <t>-&gt; #2 (/s-chego-nachat-pajku) [что купить новичку]; -&gt; #15 (/pripoj-dlya-pajki-vidy) [выбор припоя ПОС-61]; -&gt; #20 (/flyus-dlya-pajki-kakoj-vybrat) [применение флюса]</t>
  </si>
  <si>
    <t>А какая ваша первая пайка запомнилась больше всего — сгоревший транзистор или идеальный контакт? Напишите в комментариях!</t>
  </si>
  <si>
    <t>Передать в solder-article-auditor</t>
  </si>
  <si>
    <t>Да</t>
  </si>
  <si>
    <t>Высокий</t>
  </si>
  <si>
    <t>Коммерческий / Buyer's Guide (MOFU - Выбор инструмента)</t>
  </si>
  <si>
    <t>Новичок боится сжечь радиодетали дешёвым паяльником без регулировки или переплатить за громоздкую станцию. Ищет проверенный гайд по выбору (PID-термоконтроль, USB-C/PD vs 220V, жала T12/C210) и рейтинг моделей 2026 (Pinecil V2, TS101, FNIRSI HS01, KSGER T12, Deko SI24).</t>
  </si>
  <si>
    <t>Занять ТОП-1 в Яндексе и Google по запросам 'какой паяльник выбрать новичку', 'лучший паяльник для начинающих 2026'.</t>
  </si>
  <si>
    <t>Primary Keywords: какой паяльник выбрать новичку, лучший паяльник для начинающих 2026, паяльник с регулировкой температуры, какой паяльник купить для дома, смарт-паяльник USB-C Type-C PD. Key Models &amp; Benchmarks: Deko SI24, Element 947-III, Pinecil V2, TS101, FNIRSI HS01, KSGER T12. Key Decision Criteria: Наличие регулировки температуры (PID-контроль), мощность 60-80 Вт, гибочность провода (силикон), типы жал (медные vs никелированные vs картриджи T12), портативность (USB-C PD)</t>
  </si>
  <si>
    <t>с чего начать пайку</t>
  </si>
  <si>
    <t>минимальный набор для пайки, что купить новичку для пайки, какой паяльник выбрать первым, припой и флюс для начинающих, организация рабочего места</t>
  </si>
  <si>
    <t>Informational / Problem-solving</t>
  </si>
  <si>
    <t>Title: С чего начать пайку: базовый набор и пошаговый чек-лист для начинающих | Meta Description: Узнайте, что нужно купить новичку для первой пайки: выбор паяльника, припоя, флюса и организация безопасного рабочего места дома.</t>
  </si>
  <si>
    <t>H1: С чего начать пайку; H2: Краткий ответ; H2: Минимальный набор; H2: Алгоритм пайки; H2: Частые ошибки; H2: Безопасность; H2: FAQ | Фактура: ПОС-61 (183°C / 260-300°C), SAC305 (217°C / 320-350°C), канифоль/RMA</t>
  </si>
  <si>
    <t>Без BGA, без промышленных терминов, без рекламных клише</t>
  </si>
  <si>
    <t>/kak-payat-payalnikom-dlya-nachinayuschih</t>
  </si>
  <si>
    <t>/kak-payat-payalnikom-dlya-nachinayuschih, /kakoj-payalnik-vybrat, /nizhnij-podogrev-dlya-pajki</t>
  </si>
  <si>
    <t>Средний</t>
  </si>
  <si>
    <t>solder-content-analyzer</t>
  </si>
  <si>
    <t>Информационный / Практический гайд (TOFU/MOFU - Решение проблемы)</t>
  </si>
  <si>
    <t>Провода ломаются на изгибе, скрутка греется или разваливается, термоусадка плавится раньше времени или провод обугливается. Непонимание, зачем лудить перед скруткой, почему припой не течет внутрь жил и как сделать соединение герметичным и долговечным.</t>
  </si>
  <si>
    <t>Title: Пайка проводов: как правильно соединить, спаять и надежно заизолировать медные жилы | Meta Description: Пошаговое руководство по правильной пайке многожильных и одножильных проводов: выбор скрутки (Western Union, внакладку), флюс, припой ПОС-61 и термоусадочная изоляция с клеем.</t>
  </si>
  <si>
    <t>H1: 🔥 Пайка проводов: как правильно соединить, спаять и надежно изолировать; H2: 📌 Краткий ответ; H2: 🧰 Что понадобится; H2: 🔬 Физика процесса; H2: 🪜 Пошаговая инструкция; H3: Шаг 1-5; H2: ❌ Частые ошибки; H2: ⚠️ Безопасность; H2: 💡 Секреты мастера; H2: 🎯 Итог и совет мастера; H2: ❓ FAQ. Фактура: ПОС-61 (плавление 183°C, жало 280–310°C), нейтральный флюс СКФ/RMA, клеевая термоусадка 3:1.</t>
  </si>
  <si>
    <t>Сравнительная таблица видов скруток проводов под пайку (встречная Western Union, параллельная, бандажная) с оценкой вибростойкости и толщины шва.</t>
  </si>
  <si>
    <t>пайка проводов, как спаять два провода, скрутка проводов пайка, лужение многожильного провода, ПОС-61, флюс для проводов, термоусадочная трубка с клеем, стриппер для зачистки, механическая прочность соединения, капиллярный эффект</t>
  </si>
  <si>
    <t>-&gt; #1 (/kak-payat-payalnikom-dlya-nachinayuschih) [базовый гайд по пайке]; -&gt; #15 (/pripoj-dlya-pajki-vidy) [припой для медных жил]; -&gt; #50 (/termousadka-posle-pajki) [изоляция термоусадкой]</t>
  </si>
  <si>
    <t>А какой способ соединения проводов чаще используете вы — пайку со скруткой, клеммы WAGO или опрессовку гильзами? Поделитесь вашим опытом в комментариях!</t>
  </si>
  <si>
    <t>У конкурентов нет акцента на капиллярное втягивание припоя вглубь многожильного провода, объяснения механических напряжений на границе спая и правила надевания термоусадки ДО начала пайки.</t>
  </si>
  <si>
    <t>Информационный / Обучающий гайд (TOFU)</t>
  </si>
  <si>
    <t>Новичок тратит часы на простую пайку, пачкает плату нагаром, боится перегреть детали и не понимает, почему припой ложится матовыми комками. Ищет простую систему упражнений для постановки руки.</t>
  </si>
  <si>
    <t>Title: Как научиться паять быстро и без брака: пошаговый тренажер для новичка | Meta Description: Освойте базовую технику пайки за 3 практических упражнения: правильный хват паяльника, лужение дорожек, контроль времени прогрева и дозирование припоя.</t>
  </si>
  <si>
    <t>H1: ⚡ Как научиться паять быстро и без брака: система тренировки для начинающих; H2: 📌 Краткий ответ; H2: 🧰 Минимальный тренировочный набор; H2: 🔬 Физика контакта и тайминг; H2: 🪜 3 практических упражнения для постановки руки; H3: Упражнение 1. Лужение сетки из проводов (куб из проволоки); H3: Упражнение 2. Монтаж и демонтаж DIP-резисторов на макетке; H3: Упражнение 3. Пайка контактных площадок за 2 секунды; H2: ❌ Главные ошибки начинающих; H2: ⚠️ Безопасность; H2: 💡 Секреты мастера; H2: 🎯 Итог и совет мастера; H2: ❓ FAQ. Фактура: время контакта жала 2–3 секунды, температура 280–300°C для ПОС-61 (183°C), флюс канифоль/СКФ, макетная плата FR-4.</t>
  </si>
  <si>
    <t>Интерактивный тест 'Готов ли ваш спай за 2 секунды' + упражнение 'Куб из проводов' для пространственной тренировки пайки.</t>
  </si>
  <si>
    <t>как научиться паять, пайка для начинающих, тренировка пайки, куб из проволоки пайка, как держать паяльник, время пайки контакта, ПОС-61, лужение жала</t>
  </si>
  <si>
    <t>Какое упражнение помогло вам быстрее всего поставить руку при пайке? Делитесь опытом в комментариях!</t>
  </si>
  <si>
    <t>Конкуренты дают лишь теоретические советы 'держите 2 секунды'. Мы даем конкретные 3 упражнения с макеткой и проволочным кубом для мышечной памяти.</t>
  </si>
  <si>
    <t>Информационный / Справочник / Buyer's Guide (MOFU)</t>
  </si>
  <si>
    <t>Путаница в маркировках (ПОС-61, ПОС-40, Sn63Pb37, SAC305, Розе, Вуд), непонимание разницы между свинцовыми и бессвинцовыми сплавами, покупка дешевого безымянного китайского припоя, который не плавится и не липнет.</t>
  </si>
  <si>
    <t>Title: Припой для пайки: виды, маркировки, состав и выбор под задачи | Meta Description: Полный гид по припоям: различия оловянно-свинцовых (ПОС-61, ПОС-40), бессвинцовых (SAC305), легкоплавких сплавов Розе и Вуда, выбор диаметра и флюса в сердечнике.</t>
  </si>
  <si>
    <t>H1: 🧪 Припой для пайки: полный гид по видам, маркировкам и выбору сплава; H2: 📌 Краткий ответ: шпаргалка по выбору; H2: 🔬 Химия и металлургия: солидус, ликвидус и эвтектика; H2: 📊 Таблица характеристик популярных сплавов; H2: 🪜 Классификация припоев по составу и температуре; H3: Оловянно-свинцовые припои (ПОС-61, ПОС-40, Sn63Pb37); H3: Бессвинцовые сплавы (SAC305, Sn99Cu1); H3: Легкоплавкие сплавы (Розе — 94°C, Вуда — 68°C); H3: Припои специального назначения (для алюминия, серебряные); H2: 🎯 Как выбрать диаметр и флюс в сердечнике; H2: ❌ Ошибки при выборе припоя; H2: ⚠️ Безопасность и свинцовая гигиена; H2: 💡 Секреты мастера; H2: 🎯 Итог и совет мастера; H2: ❓ FAQ. Фактура: ПОС-61 (Sn61Pb39, 183°C эвтектика), ПОС-40 (183–238°C), SAC305 (Sn96.5Ag3.0Cu0.5, 217°C), сплав Розе (94°C), сплав Вуда (68.5°C).</t>
  </si>
  <si>
    <t>Интерактивная сводная таблица температур плавления и сфер применения всех 8 основных типов припоев с цветовой маркировкой.</t>
  </si>
  <si>
    <t>припой для пайки, виды припоев, ПОС-61, ПОС-40, Sn63Pb37, бессвинцовый припой, SAC305, сплав Розе, сплав Вуда, эвтектический сплав, температура плавления припоя, трубчатый припой с канифолью</t>
  </si>
  <si>
    <t>Какой припой ваш основной на рабочем месте — классический ПОС-61, бессвинцовый SAC305 или паяльная паста? Напишите в комментариях!</t>
  </si>
  <si>
    <t>В рунете нет единой статьи с четким разграничением температур солидуса/ликвидуса для новичков и честным сравнением ПОС против SAC305 без маркетинговой шелухи.</t>
  </si>
  <si>
    <t>Информационный / Сравнительный анализ (MOFU)</t>
  </si>
  <si>
    <t>Непонимание, почему ПОС-40 дешевле, но паять им мелкую электронику мучительно трудно, почему ПОС-40 долго застывает и дает матовый шов, а ПОС-61 кристаллизуется мгновенно.</t>
  </si>
  <si>
    <t>Title: ПОС-61 или ПОС-40: подробное сравнение, состав, температуры и выбор | Meta Description: В чем разница между припоями ПОС-61 и ПОС-40: процент олова и свинца, температура плавления (183°C против 238°C), пластическая фаза и сферы применения.</t>
  </si>
  <si>
    <t>H1: ⚖️ ПОС-61 или ПОС-40: в чём разница, физика плавления и что выбрать; H2: 📌 Краткий ответ: ключевое отличие за 30 секунд; H2: 🔬 Химический состав и фазовая диаграмма; H2: 📊 Сравнительная таблица ПОС-61 vs ПОС-40; H2: 🌡️ Эвтектика против пластической зоны: почему ПОС-61 застывает мгновенно; H2: 🛠️ Практическое применение: когда брать ПОС-61, а когда оправдан ПОС-40; H2: ❌ Ошибки при пайке плат припоем ПОС-40; H2: ⚠️ Безопасность; H2: 💡 Секреты мастера; H2: 🎯 Итог и совет мастера; H2: ❓ FAQ. Фактура: ПОС-61 (61% Sn, 39% Pb, 183°C строго эвтектика, жало 270–300°C), ПОС-40 (40% Sn, 60% Pb, солидус 183°C, ликвидус 238°C, пастообразная зона 55°C, жало 310–340°C).</t>
  </si>
  <si>
    <t>Наглядная схема-график фазового перехода 'Жидкий расплав -&gt; Пастообразная каша -&gt; Твердый металл' с таймингом застывания.</t>
  </si>
  <si>
    <t>ПОС-61, ПОС-40, разница пос 61 и пос 40, температура плавления пос 61, температура плавления пос 40, эвтектический припой, оловянно-свинцовый припой, припой для плат, припой для радиаторов и проводов</t>
  </si>
  <si>
    <t>А вы используете ПОС-40 в своей практике или полностью перешли на ПОС-61 и бессвинцовые сплавы? Делитесь в комментариях!</t>
  </si>
  <si>
    <t>Большинство статей сухо цитируют ГОСТ 21930-76. Мы объясняем физику пастообразной зоны 55°C у ПОС-40 простыми словами мастера.</t>
  </si>
  <si>
    <t>Дата</t>
  </si>
  <si>
    <t>H1</t>
  </si>
  <si>
    <t>Meta_Description</t>
  </si>
  <si>
    <t>Focus_Keyword</t>
  </si>
  <si>
    <t>SEO_Title</t>
  </si>
  <si>
    <t>Canonical_URL</t>
  </si>
  <si>
    <t>Body_Markdown</t>
  </si>
  <si>
    <t>Featured_Image_Alt</t>
  </si>
  <si>
    <t>Tags_LSI</t>
  </si>
  <si>
    <t>Internal_Links_Checklist</t>
  </si>
  <si>
    <t>AI_Pattern_Report</t>
  </si>
  <si>
    <t>Статус_экспорта</t>
  </si>
  <si>
    <t>GEO_Прямой_ответ</t>
  </si>
  <si>
    <t>GEO_Цитируемые_факты</t>
  </si>
  <si>
    <t>GEO_FAQ_вопросы</t>
  </si>
  <si>
    <t>GEO_EEAT_фактура</t>
  </si>
  <si>
    <t>GEO_Сущности_и_LSI</t>
  </si>
  <si>
    <t>GEO_Schema_JSONLD</t>
  </si>
  <si>
    <t>SEO_Поисковый_интент</t>
  </si>
  <si>
    <t>SEO_Вторичные_ключи</t>
  </si>
  <si>
    <t>SEO_Проверка_мета</t>
  </si>
  <si>
    <t>AI_Crawlability</t>
  </si>
  <si>
    <t>Image_Plan</t>
  </si>
  <si>
    <t>Image_Alt_List</t>
  </si>
  <si>
    <t>Как паять паяльником: руководство для начинающих</t>
  </si>
  <si>
    <t>2026-08-15</t>
  </si>
  <si>
    <t>Как паять паяльником: пошаговое руководство для начинающих</t>
  </si>
  <si>
    <t>Как правильно паять паяльником: инструменты, температура, пошаговые действия и ошибки новичка. Начните безопасно и получите ровный спай.</t>
  </si>
  <si>
    <t>как паять паяльником</t>
  </si>
  <si>
    <t>Как паять паяльником для начинающих | SolderBlog</t>
  </si>
  <si>
    <t>https://site/kak-payat-payalnikom-dlya-nachinayuschih/</t>
  </si>
  <si>
    <t># Как паять паяльником: руководство для начинающих
Чтобы начать паять, нужны паяльник с регулировкой температуры, припой и флюс. Прогрейте одновременно площадку и вывод 2–3 секунды, подайте припой в место контакта и не двигайте деталь до застывания.
## Что нужно для пайки
- Паяльник 25–60 Вт, для большинства задач — 40 Вт
- Припой ПОС-61 или SAC305, диаметр 0,8–1,0 мм
- Флюс: канифоль, RMA или No-clean
- Подставка, очиститель жала, пинцет и вентиляция
## Температура пайки
| Припой | Плавление | Рабочая температура жала |
|---|---:|---:|
| ПОС-61 | 183 °C | 260–320 °C |
| SAC305 | 217 °C | 300–360 °C |
| Bi-Sn | 138 °C | 180–230 °C |
## Как паять шаг за шагом
1. Прогрейте паяльник и залудите чистое жало.
2. Нанесите флюс на место пайки.
3. Одновременно прогревайте жало, площадку и вывод 2–3 секунды.
4. Подайте припой в контакт, а не на жало.
5. Уберите припой, затем жало. Не двигайте деталь 3–5 секунд.
## Типичные ошибки
**Холодная пайка.** Матовый, серый или зернистый спай появляется, когда деталь сдвинули до застывания или плохо прогрели контакт. Нанесите свежий флюс и перепаяйте соединение.
**Мост припоя.** Лишний припой соединил соседние дорожки. Уберите его медной оплёткой с флюсом.
**Перегрев.** Если греть компонент дольше 5 секунд, дайте ему остыть и проверьте работоспособность.
## План ИИ-изображений
- Обложка: руки мастера паяют тонкий провод к учебной плате; чистое жало, припой и флюс на верстаке.
- После шагов: техническая схема из четырёх кадров — прогрев контакта, подача припоя, снятие припоя, готовый спай.
- В блоке ошибок: макросравнение блестящего правильного и матового холодного спая.
&gt; Полные промпты, alt-тексты и места вставки — на листе `image_generation`.</t>
  </si>
  <si>
    <t>Новичок паяет провод паяльником с регулируемой температурой</t>
  </si>
  <si>
    <t>пайка для начинающих, ПОС-61, флюс, температура пайки, холодная пайка</t>
  </si>
  <si>
    <t>kak-vybrat-payalnik; podbor-flyusa; podbor-pripoya</t>
  </si>
  <si>
    <t>Паттернов ИИ: 0; чеклист SKILL-04 пройден</t>
  </si>
  <si>
    <t>Готово к экспорту</t>
  </si>
  <si>
    <t>Чтобы начать паять, нужны паяльник, припой и флюс: прогрейте контакт 2–3 секунды, подайте припой в соединение и не двигайте деталь до застывания.</t>
  </si>
  <si>
    <t>ПОС-61 плавится при 183 °C, рабочая температура жала — 260–320 °C. SAC305 плавится около 217 °C и обычно требует 300–360 °C. Матовый зернистый спай — признак холодной пайки.</t>
  </si>
  <si>
    <t>Какой паяльник нужен новичку? Можно ли паять без флюса? Как распознать холодную пайку? Какая температура нужна для ПОС-61?</t>
  </si>
  <si>
    <t>Фото нормального и холодного спая; ограничение: перегрев дольше 5 секунд может повредить компонент; очистка и лужение жала между соединениями.</t>
  </si>
  <si>
    <t>паяльник, ПОС-61, SAC305, канифоль, RMA, No-clean, холодная пайка, жало, контактная площадка</t>
  </si>
  <si>
    <t>@graph: TechArticle + Person + BreadcrumbList + FAQPage при наличии видимого FAQ; указать datePublished, dateModified, author @id.</t>
  </si>
  <si>
    <t>Информационный: новичок ищет безопасную пошаговую инструкцию.</t>
  </si>
  <si>
    <t>как правильно паять; как пользоваться паяльником; температура пайки; припой; флюс; холодная пайка</t>
  </si>
  <si>
    <t>Ключ в H1, SEO Title, первом абзаце и одном H2; title до 60 символов, meta 130–160, один canonical.</t>
  </si>
  <si>
    <t>Разрешить GPTBot, OAI-SearchBot, ChatGPT-User, ClaudeBot, PerplexityBot; контент доступен в HTML без обязательного JS.</t>
  </si>
  <si>
    <t>Добавить в sitemap, отправить через Search Console; IndexNow только после размещения ключа на домене; проверить через 2–4 недели.</t>
  </si>
  <si>
    <t>3 изображения: обложка; схема 4 шагов; сравнение правильного и холодного спая.</t>
  </si>
  <si>
    <t>Новичок паяет провод; порядок пайки; сравнение правильного и холодного спая.</t>
  </si>
  <si>
    <t>Онлайн-инструменты для пайки</t>
  </si>
  <si>
    <t>instrumenty</t>
  </si>
  <si>
    <t>2026-08-20</t>
  </si>
  <si>
    <t>Онлайн-инструменты для пайки: подборщики, калькуляторы, тесты</t>
  </si>
  <si>
    <t>Бесплатные инструменты для выбора флюса, припоя и паяльника, расчёта температуры жала и диагностики дефектов пайки.</t>
  </si>
  <si>
    <t>инструменты для пайки онлайн</t>
  </si>
  <si>
    <t>Инструменты для пайки онлайн | SolderBlog</t>
  </si>
  <si>
    <t>https://site/instrumenty/</t>
  </si>
  <si>
    <t># Онлайн-инструменты для пайки
Бесплатные подборщики и калькуляторы для пайки без регистрации.
## План ИИ-изображений
- Обложка: паяльная станция, припой, флюс и ноутбук с нейтральным интерфейсом калькулятора.
&gt; Полный промпт — на листе `image_generation`.</t>
  </si>
  <si>
    <t>Рабочее место для пайки с онлайн-инструментами на ноутбуке</t>
  </si>
  <si>
    <t>подборщик флюса, калькулятор температуры, выбор паяльника</t>
  </si>
  <si>
    <t>ссылки на все инструменты</t>
  </si>
  <si>
    <t>Чеклист SKILL-04: требуется проверка</t>
  </si>
  <si>
    <t>шаблон</t>
  </si>
  <si>
    <t>На странице собраны бесплатные инструменты для выбора флюса, припоя и паяльника, расчёта температуры жала и диагностики дефектов.</t>
  </si>
  <si>
    <t>Инструменты работают в браузере, без регистрации, бэкенда и передачи персональных данных.</t>
  </si>
  <si>
    <t>Как подобрать флюс? Как рассчитать температуру жала? Какой паяльник выбрать?</t>
  </si>
  <si>
    <t>Для каждого результата давать объяснение выбора и ссылку на подробную статью; показывать ограничения калькуляторов.</t>
  </si>
  <si>
    <t>подборщик флюса, подборщик припоя, калькулятор температуры пайки, диагностика дефекта</t>
  </si>
  <si>
    <t>CollectionPage + BreadcrumbList; для отдельных страниц — SoftwareApplication.</t>
  </si>
  <si>
    <t>Навигационно-информационный: пользователь ищет быстрый онлайн-помощник.</t>
  </si>
  <si>
    <t>инструменты для пайки онлайн; калькулятор пайки; выбрать флюс; температура жала</t>
  </si>
  <si>
    <t>H1 и title содержат «инструменты для пайки»; meta 130–160; canonical /instrumenty/.</t>
  </si>
  <si>
    <t>Описания и ссылки доступны в исходном HTML; разрешить основных AI-ботов.</t>
  </si>
  <si>
    <t>Добавить хаб в sitemap и Search Console; после публикации отправить IndexNow.</t>
  </si>
  <si>
    <t>1 изображение: рабочее место и ноутбук с калькулятором.</t>
  </si>
  <si>
    <t>Рабочее место для пайки с паяльной станцией, флюсом и ноутбуком.</t>
  </si>
  <si>
    <t>Заголовок статьи</t>
  </si>
  <si>
    <t>Slug статьи</t>
  </si>
  <si>
    <t>№</t>
  </si>
  <si>
    <t>Роль / место</t>
  </si>
  <si>
    <t>Подробный промпт для ИИ</t>
  </si>
  <si>
    <t>Формат</t>
  </si>
  <si>
    <t>Alt-текст</t>
  </si>
  <si>
    <t>Подпись</t>
  </si>
  <si>
    <t>SEO/GEO-цель</t>
  </si>
  <si>
    <t>Имя файла</t>
  </si>
  <si>
    <t>Обложка после H1</t>
  </si>
  <si>
    <t>Реалистичная предметная фотография: руки взрослого мастера в защитных очках паяют тонкий медный провод к контактной площадке учебной платы. Паяльник с чистым тонким жалом, небольшая катушка припоя, нейтральный флюс, светлый верстак, хорошее освещение. Макро, резкий фокус на жале и соединении, без текста, логотипов, лишних пальцев, безопасная поза.</t>
  </si>
  <si>
    <t>16:9, 1600×900</t>
  </si>
  <si>
    <t>Пайка провода: жало прогревает площадку и вывод</t>
  </si>
  <si>
    <t>Главный интент, Open Graph</t>
  </si>
  <si>
    <t>к генерации</t>
  </si>
  <si>
    <t>kak-payat-oblozhka.webp</t>
  </si>
  <si>
    <t>После раздела «Как паять шаг за шагом»</t>
  </si>
  <si>
    <t>Чистая техническая изометрическая инфографика из 4 кадров на светлом фоне: 1) чистое залуженное жало касается одновременно медной площадки и вывода; 2) припой подаётся с противоположной стороны; 3) убирают припой; 4) готовый гладкий блестящий спай. Реалистичные детали платы, точная физика пайки, без брендов и длинного текста.</t>
  </si>
  <si>
    <t>Порядок пайки: жало греет площадку и вывод, припой подаётся в контакт</t>
  </si>
  <si>
    <t>Четыре шага правильной пайки</t>
  </si>
  <si>
    <t>Делает инструкцию наглядной</t>
  </si>
  <si>
    <t>kak-payat-4-shaga.webp</t>
  </si>
  <si>
    <t>В разделе «Типичные ошибки»</t>
  </si>
  <si>
    <t>Макрофотография-сравнение, кадр разделён вертикально: слева правильный блестящий ровный припой на выводе и площадке, справа холодная пайка — матовая, зернистая, с кольцом у вывода. Одинаковый масштаб, нейтральный фон, без логотипов и текста.</t>
  </si>
  <si>
    <t>Сравнение правильного блестящего спая и матового холодного спая</t>
  </si>
  <si>
    <t>Как отличить холодную пайку</t>
  </si>
  <si>
    <t>E-E-A-T и диагностика дефекта</t>
  </si>
  <si>
    <t>kak-payat-holodnaya-pajka.webp</t>
  </si>
  <si>
    <t>Чистая реалистичная фотография современного домашнего рабочего места радиолюбителя: компактная паяльная станция, припой, флюс в шприце, мультиметр и ноутбук с нейтральным интерфейсом калькулятора температуры. Тёплый свет, порядок на столе, без читаемого бренда, текста и логотипов, без людей.</t>
  </si>
  <si>
    <t>Рабочее место для пайки с паяльной станцией, флюсом и онлайн-инструментами на ноутбуке</t>
  </si>
  <si>
    <t>Хаб-страница, Open Graph</t>
  </si>
  <si>
    <t>instrumenty-pajki-oblozhka.webp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</si>
</sst>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sz val="10.0"/>
      <color rgb="FFFFFFFF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2E4057"/>
        <bgColor rgb="FF2E4057"/>
      </patternFill>
    </fill>
    <fill>
      <patternFill patternType="solid">
        <fgColor rgb="FF7A3E65"/>
        <bgColor rgb="FF7A3E65"/>
      </patternFill>
    </fill>
    <fill>
      <patternFill patternType="solid">
        <fgColor rgb="FFFFFFFF"/>
        <bgColor rgb="FFFFFFFF"/>
      </patternFill>
    </fill>
    <fill>
      <patternFill patternType="solid">
        <fgColor rgb="FFE9F2FF"/>
        <bgColor rgb="FFE9F2FF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2" fontId="2" numFmtId="0" xfId="0" applyBorder="1" applyFill="1" applyFont="1"/>
    <xf borderId="1" fillId="2" fontId="2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2" fillId="3" fontId="3" numFmtId="0" xfId="0" applyAlignment="1" applyBorder="1" applyFill="1" applyFont="1">
      <alignment horizontal="center" shrinkToFit="0" vertical="top" wrapText="1"/>
    </xf>
    <xf borderId="2" fillId="4" fontId="3" numFmtId="0" xfId="0" applyAlignment="1" applyBorder="1" applyFill="1" applyFont="1">
      <alignment horizontal="center" shrinkToFit="0" vertical="top" wrapText="1"/>
    </xf>
    <xf borderId="2" fillId="5" fontId="4" numFmtId="0" xfId="0" applyAlignment="1" applyBorder="1" applyFill="1" applyFont="1">
      <alignment horizontal="left" shrinkToFit="0" vertical="top" wrapText="1"/>
    </xf>
    <xf borderId="2" fillId="5" fontId="4" numFmtId="0" xfId="0" applyAlignment="1" applyBorder="1" applyFont="1">
      <alignment horizontal="left" readingOrder="0" shrinkToFit="0" vertical="top" wrapText="1"/>
    </xf>
    <xf borderId="2" fillId="6" fontId="4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29"/>
    <col customWidth="1" min="3" max="6" width="8.71"/>
    <col customWidth="1" min="7" max="7" width="49.0"/>
    <col customWidth="1" min="8" max="9" width="8.71"/>
  </cols>
  <sheetData>
    <row r="1">
      <c r="A1" s="1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 t="str">
        <f>IFERROR(MATCH(6, 'briefs_ТЗ'!A:A, 0), IFERROR(MATCH("6.0", 'briefs_ТЗ'!A:A, 0), -1))</f>
        <v>#ERROR!</v>
      </c>
    </row>
    <row r="2">
      <c r="A2" s="2" t="s">
        <v>32</v>
      </c>
      <c r="B2" s="2" t="s">
        <v>33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tr">
        <f>IFERROR(MATCH(6, content_plan!A:A, 0), IFERROR(MATCH("6", content_plan!A:A, 0), -1))</f>
        <v>#ERROR!</v>
      </c>
    </row>
    <row r="3">
      <c r="A3" s="2" t="s">
        <v>49</v>
      </c>
      <c r="B3" s="2" t="s">
        <v>50</v>
      </c>
      <c r="C3" s="2" t="s">
        <v>50</v>
      </c>
      <c r="D3" s="2" t="s">
        <v>54</v>
      </c>
      <c r="E3" s="2" t="s">
        <v>35</v>
      </c>
      <c r="F3" s="2" t="s">
        <v>55</v>
      </c>
      <c r="G3" s="2" t="s">
        <v>56</v>
      </c>
      <c r="H3" s="2" t="s">
        <v>38</v>
      </c>
      <c r="I3" s="2" t="s">
        <v>39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64</v>
      </c>
      <c r="B4" s="2" t="s">
        <v>65</v>
      </c>
      <c r="C4" s="2" t="s">
        <v>65</v>
      </c>
      <c r="D4" s="2" t="s">
        <v>66</v>
      </c>
      <c r="E4" s="2" t="s">
        <v>35</v>
      </c>
      <c r="F4" s="2" t="s">
        <v>67</v>
      </c>
      <c r="G4" s="2" t="s">
        <v>68</v>
      </c>
      <c r="H4" s="2" t="s">
        <v>69</v>
      </c>
      <c r="I4" s="2" t="s">
        <v>39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75</v>
      </c>
      <c r="B5" s="2" t="s">
        <v>78</v>
      </c>
      <c r="C5" s="2" t="s">
        <v>80</v>
      </c>
      <c r="D5" s="2" t="s">
        <v>82</v>
      </c>
      <c r="E5" s="2" t="s">
        <v>35</v>
      </c>
      <c r="F5" s="2" t="s">
        <v>84</v>
      </c>
      <c r="G5" s="2" t="s">
        <v>85</v>
      </c>
      <c r="H5" s="2" t="s">
        <v>38</v>
      </c>
      <c r="I5" s="2" t="s">
        <v>39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93</v>
      </c>
      <c r="B6" s="2" t="s">
        <v>94</v>
      </c>
      <c r="C6" s="2" t="s">
        <v>95</v>
      </c>
      <c r="D6" s="2" t="s">
        <v>96</v>
      </c>
      <c r="E6" s="2" t="s">
        <v>35</v>
      </c>
      <c r="F6" s="2" t="s">
        <v>97</v>
      </c>
      <c r="G6" s="2" t="s">
        <v>98</v>
      </c>
      <c r="H6" s="2" t="s">
        <v>99</v>
      </c>
      <c r="I6" s="2" t="s">
        <v>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102</v>
      </c>
      <c r="B7" s="2" t="s">
        <v>104</v>
      </c>
      <c r="C7" s="2" t="s">
        <v>104</v>
      </c>
      <c r="D7" s="2" t="s">
        <v>107</v>
      </c>
      <c r="E7" s="2" t="s">
        <v>35</v>
      </c>
      <c r="F7" s="2" t="s">
        <v>110</v>
      </c>
      <c r="G7" s="2" t="s">
        <v>112</v>
      </c>
      <c r="H7" s="2" t="s">
        <v>38</v>
      </c>
      <c r="I7" s="2" t="s">
        <v>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118</v>
      </c>
      <c r="B8" s="2" t="s">
        <v>120</v>
      </c>
      <c r="C8" s="2" t="s">
        <v>120</v>
      </c>
      <c r="D8" s="2" t="s">
        <v>122</v>
      </c>
      <c r="E8" s="2" t="s">
        <v>35</v>
      </c>
      <c r="F8" s="2" t="s">
        <v>123</v>
      </c>
      <c r="G8" s="2" t="s">
        <v>124</v>
      </c>
      <c r="H8" s="2" t="s">
        <v>99</v>
      </c>
      <c r="I8" s="2" t="s">
        <v>39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129</v>
      </c>
      <c r="B9" s="2" t="s">
        <v>130</v>
      </c>
      <c r="C9" s="2" t="s">
        <v>130</v>
      </c>
      <c r="D9" s="2" t="s">
        <v>131</v>
      </c>
      <c r="E9" s="2" t="s">
        <v>35</v>
      </c>
      <c r="F9" s="2" t="s">
        <v>123</v>
      </c>
      <c r="G9" s="2" t="s">
        <v>134</v>
      </c>
      <c r="H9" s="2" t="s">
        <v>99</v>
      </c>
      <c r="I9" s="2" t="s">
        <v>39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140</v>
      </c>
      <c r="B10" s="2" t="s">
        <v>141</v>
      </c>
      <c r="C10" s="2" t="s">
        <v>141</v>
      </c>
      <c r="D10" s="2" t="s">
        <v>143</v>
      </c>
      <c r="E10" s="2" t="s">
        <v>35</v>
      </c>
      <c r="F10" s="2" t="s">
        <v>55</v>
      </c>
      <c r="G10" s="2" t="s">
        <v>144</v>
      </c>
      <c r="H10" s="2" t="s">
        <v>38</v>
      </c>
      <c r="I10" s="2" t="s">
        <v>39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151</v>
      </c>
      <c r="B11" s="2" t="s">
        <v>153</v>
      </c>
      <c r="C11" s="2" t="s">
        <v>153</v>
      </c>
      <c r="D11" s="2" t="s">
        <v>154</v>
      </c>
      <c r="E11" s="2" t="s">
        <v>35</v>
      </c>
      <c r="F11" s="2" t="s">
        <v>156</v>
      </c>
      <c r="G11" s="2" t="s">
        <v>144</v>
      </c>
      <c r="H11" s="2" t="s">
        <v>38</v>
      </c>
      <c r="I11" s="2" t="s">
        <v>39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162</v>
      </c>
      <c r="B12" s="2" t="s">
        <v>163</v>
      </c>
      <c r="C12" s="2" t="s">
        <v>163</v>
      </c>
      <c r="D12" s="2" t="s">
        <v>164</v>
      </c>
      <c r="E12" s="2" t="s">
        <v>35</v>
      </c>
      <c r="F12" s="2" t="s">
        <v>165</v>
      </c>
      <c r="G12" s="2" t="s">
        <v>166</v>
      </c>
      <c r="H12" s="2" t="s">
        <v>69</v>
      </c>
      <c r="I12" s="2" t="s">
        <v>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171</v>
      </c>
      <c r="B13" s="2" t="s">
        <v>172</v>
      </c>
      <c r="C13" s="2" t="s">
        <v>172</v>
      </c>
      <c r="D13" s="2" t="s">
        <v>173</v>
      </c>
      <c r="E13" s="2" t="s">
        <v>35</v>
      </c>
      <c r="F13" s="2" t="s">
        <v>165</v>
      </c>
      <c r="G13" s="2" t="s">
        <v>174</v>
      </c>
      <c r="H13" s="2" t="s">
        <v>69</v>
      </c>
      <c r="I13" s="2" t="s">
        <v>39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180</v>
      </c>
      <c r="B14" s="2" t="s">
        <v>181</v>
      </c>
      <c r="C14" s="2" t="s">
        <v>183</v>
      </c>
      <c r="D14" s="2" t="s">
        <v>185</v>
      </c>
      <c r="E14" s="2" t="s">
        <v>70</v>
      </c>
      <c r="F14" s="2" t="s">
        <v>52</v>
      </c>
      <c r="G14" s="2" t="s">
        <v>41</v>
      </c>
      <c r="H14" s="2" t="s">
        <v>99</v>
      </c>
      <c r="I14" s="2" t="s">
        <v>39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192</v>
      </c>
      <c r="B15" s="2" t="s">
        <v>193</v>
      </c>
      <c r="C15" s="2" t="s">
        <v>194</v>
      </c>
      <c r="D15" s="2" t="s">
        <v>195</v>
      </c>
      <c r="E15" s="2" t="s">
        <v>100</v>
      </c>
      <c r="F15" s="2" t="s">
        <v>52</v>
      </c>
      <c r="G15" s="2" t="s">
        <v>41</v>
      </c>
      <c r="H15" s="2" t="s">
        <v>99</v>
      </c>
      <c r="I15" s="2" t="s">
        <v>39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128</v>
      </c>
      <c r="B16" s="2" t="s">
        <v>200</v>
      </c>
      <c r="C16" s="2" t="s">
        <v>200</v>
      </c>
      <c r="D16" s="2" t="s">
        <v>202</v>
      </c>
      <c r="E16" s="2" t="s">
        <v>125</v>
      </c>
      <c r="F16" s="2" t="s">
        <v>204</v>
      </c>
      <c r="G16" s="2" t="s">
        <v>207</v>
      </c>
      <c r="H16" s="2" t="s">
        <v>99</v>
      </c>
      <c r="I16" s="2" t="s">
        <v>39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150</v>
      </c>
      <c r="B17" s="2" t="s">
        <v>211</v>
      </c>
      <c r="C17" s="2" t="s">
        <v>212</v>
      </c>
      <c r="D17" s="2" t="s">
        <v>213</v>
      </c>
      <c r="E17" s="2" t="s">
        <v>147</v>
      </c>
      <c r="F17" s="2" t="s">
        <v>214</v>
      </c>
      <c r="G17" s="2" t="s">
        <v>76</v>
      </c>
      <c r="H17" s="2" t="s">
        <v>99</v>
      </c>
      <c r="I17" s="2" t="s">
        <v>39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169</v>
      </c>
      <c r="B18" s="2" t="s">
        <v>218</v>
      </c>
      <c r="C18" s="2" t="s">
        <v>220</v>
      </c>
      <c r="D18" s="2" t="s">
        <v>222</v>
      </c>
      <c r="E18" s="2" t="s">
        <v>167</v>
      </c>
      <c r="F18" s="2" t="s">
        <v>225</v>
      </c>
      <c r="G18" s="2" t="s">
        <v>176</v>
      </c>
      <c r="H18" s="2" t="s">
        <v>99</v>
      </c>
      <c r="I18" s="2" t="s">
        <v>39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230</v>
      </c>
      <c r="B19" s="2" t="s">
        <v>231</v>
      </c>
      <c r="C19" s="2" t="s">
        <v>231</v>
      </c>
      <c r="D19" s="2" t="s">
        <v>233</v>
      </c>
      <c r="E19" s="2" t="s">
        <v>234</v>
      </c>
      <c r="F19" s="2" t="s">
        <v>235</v>
      </c>
      <c r="G19" s="2" t="s">
        <v>41</v>
      </c>
      <c r="H19" s="2" t="s">
        <v>99</v>
      </c>
      <c r="I19" s="2" t="s">
        <v>39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209</v>
      </c>
      <c r="B20" s="2" t="s">
        <v>241</v>
      </c>
      <c r="C20" s="2" t="s">
        <v>242</v>
      </c>
      <c r="D20" s="2" t="s">
        <v>244</v>
      </c>
      <c r="E20" s="2" t="s">
        <v>201</v>
      </c>
      <c r="F20" s="2" t="s">
        <v>246</v>
      </c>
      <c r="G20" s="2" t="s">
        <v>76</v>
      </c>
      <c r="H20" s="2" t="s">
        <v>99</v>
      </c>
      <c r="I20" s="2" t="s">
        <v>39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 t="s">
        <v>252</v>
      </c>
      <c r="B21" s="2" t="s">
        <v>254</v>
      </c>
      <c r="C21" s="2" t="s">
        <v>255</v>
      </c>
      <c r="D21" s="2" t="s">
        <v>256</v>
      </c>
      <c r="E21" s="2" t="s">
        <v>217</v>
      </c>
      <c r="F21" s="2" t="s">
        <v>52</v>
      </c>
      <c r="G21" s="2" t="s">
        <v>41</v>
      </c>
      <c r="H21" s="2" t="s">
        <v>99</v>
      </c>
      <c r="I21" s="2" t="s">
        <v>39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262</v>
      </c>
      <c r="B22" s="2" t="s">
        <v>264</v>
      </c>
      <c r="C22" s="2" t="s">
        <v>264</v>
      </c>
      <c r="D22" s="2" t="s">
        <v>244</v>
      </c>
      <c r="E22" s="2" t="s">
        <v>245</v>
      </c>
      <c r="F22" s="2" t="s">
        <v>265</v>
      </c>
      <c r="G22" s="2" t="s">
        <v>41</v>
      </c>
      <c r="H22" s="2" t="s">
        <v>38</v>
      </c>
      <c r="I22" s="2" t="s">
        <v>268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 t="s">
        <v>276</v>
      </c>
      <c r="B23" s="2" t="s">
        <v>277</v>
      </c>
      <c r="C23" s="2" t="s">
        <v>278</v>
      </c>
      <c r="D23" s="2" t="s">
        <v>279</v>
      </c>
      <c r="E23" s="2" t="s">
        <v>280</v>
      </c>
      <c r="F23" s="2" t="s">
        <v>281</v>
      </c>
      <c r="G23" s="2" t="s">
        <v>196</v>
      </c>
      <c r="H23" s="2" t="s">
        <v>51</v>
      </c>
      <c r="I23" s="2" t="s">
        <v>39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 t="s">
        <v>287</v>
      </c>
      <c r="B24" s="2" t="s">
        <v>289</v>
      </c>
      <c r="C24" s="2" t="s">
        <v>290</v>
      </c>
      <c r="D24" s="2" t="s">
        <v>291</v>
      </c>
      <c r="E24" s="2" t="s">
        <v>266</v>
      </c>
      <c r="F24" s="2" t="s">
        <v>294</v>
      </c>
      <c r="G24" s="2" t="s">
        <v>196</v>
      </c>
      <c r="H24" s="2" t="s">
        <v>51</v>
      </c>
      <c r="I24" s="2" t="s">
        <v>39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302</v>
      </c>
      <c r="B25" s="2" t="s">
        <v>303</v>
      </c>
      <c r="C25" s="2" t="s">
        <v>305</v>
      </c>
      <c r="D25" s="2" t="s">
        <v>306</v>
      </c>
      <c r="E25" s="2" t="s">
        <v>307</v>
      </c>
      <c r="F25" s="2" t="s">
        <v>281</v>
      </c>
      <c r="G25" s="2" t="s">
        <v>196</v>
      </c>
      <c r="H25" s="2" t="s">
        <v>142</v>
      </c>
      <c r="I25" s="2" t="s">
        <v>39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 t="s">
        <v>150</v>
      </c>
      <c r="B26" s="2" t="s">
        <v>311</v>
      </c>
      <c r="C26" s="2" t="s">
        <v>314</v>
      </c>
      <c r="D26" s="2" t="s">
        <v>213</v>
      </c>
      <c r="E26" s="2" t="s">
        <v>147</v>
      </c>
      <c r="F26" s="2" t="s">
        <v>284</v>
      </c>
      <c r="G26" s="2" t="s">
        <v>313</v>
      </c>
      <c r="H26" s="2" t="s">
        <v>142</v>
      </c>
      <c r="I26" s="2" t="s">
        <v>319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 t="s">
        <v>262</v>
      </c>
      <c r="B27" s="2" t="s">
        <v>326</v>
      </c>
      <c r="C27" s="2" t="s">
        <v>264</v>
      </c>
      <c r="D27" s="2" t="s">
        <v>244</v>
      </c>
      <c r="E27" s="2" t="s">
        <v>245</v>
      </c>
      <c r="F27" s="2" t="s">
        <v>265</v>
      </c>
      <c r="G27" s="2" t="s">
        <v>260</v>
      </c>
      <c r="H27" s="2" t="s">
        <v>51</v>
      </c>
      <c r="I27" s="2" t="s">
        <v>327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335</v>
      </c>
      <c r="B28" s="2" t="s">
        <v>337</v>
      </c>
      <c r="C28" s="2" t="s">
        <v>338</v>
      </c>
      <c r="D28" s="2" t="s">
        <v>244</v>
      </c>
      <c r="E28" s="2" t="s">
        <v>201</v>
      </c>
      <c r="F28" s="2" t="s">
        <v>342</v>
      </c>
      <c r="G28" s="2" t="s">
        <v>328</v>
      </c>
      <c r="H28" s="2" t="s">
        <v>51</v>
      </c>
      <c r="I28" s="2" t="s">
        <v>39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 t="s">
        <v>346</v>
      </c>
      <c r="B29" s="2" t="s">
        <v>347</v>
      </c>
      <c r="C29" s="2" t="s">
        <v>348</v>
      </c>
      <c r="D29" s="2" t="s">
        <v>244</v>
      </c>
      <c r="E29" s="2" t="s">
        <v>201</v>
      </c>
      <c r="F29" s="2" t="s">
        <v>342</v>
      </c>
      <c r="G29" s="2" t="s">
        <v>328</v>
      </c>
      <c r="H29" s="2" t="s">
        <v>142</v>
      </c>
      <c r="I29" s="2" t="s">
        <v>39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355</v>
      </c>
      <c r="B30" s="2" t="s">
        <v>357</v>
      </c>
      <c r="C30" s="2" t="s">
        <v>358</v>
      </c>
      <c r="D30" s="2" t="s">
        <v>360</v>
      </c>
      <c r="E30" s="2" t="s">
        <v>317</v>
      </c>
      <c r="F30" s="2" t="s">
        <v>265</v>
      </c>
      <c r="G30" s="2" t="s">
        <v>362</v>
      </c>
      <c r="H30" s="2" t="s">
        <v>99</v>
      </c>
      <c r="I30" s="2" t="s">
        <v>39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368</v>
      </c>
      <c r="B31" s="2" t="s">
        <v>369</v>
      </c>
      <c r="C31" s="2" t="s">
        <v>369</v>
      </c>
      <c r="D31" s="2" t="s">
        <v>370</v>
      </c>
      <c r="E31" s="2" t="s">
        <v>331</v>
      </c>
      <c r="F31" s="2" t="s">
        <v>371</v>
      </c>
      <c r="G31" s="2" t="s">
        <v>362</v>
      </c>
      <c r="H31" s="2" t="s">
        <v>99</v>
      </c>
      <c r="I31" s="2" t="s">
        <v>39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378</v>
      </c>
      <c r="B32" s="2" t="s">
        <v>379</v>
      </c>
      <c r="C32" s="2" t="s">
        <v>381</v>
      </c>
      <c r="D32" s="2" t="s">
        <v>382</v>
      </c>
      <c r="E32" s="2" t="s">
        <v>125</v>
      </c>
      <c r="F32" s="2" t="s">
        <v>383</v>
      </c>
      <c r="G32" s="2" t="s">
        <v>384</v>
      </c>
      <c r="H32" s="2" t="s">
        <v>38</v>
      </c>
      <c r="I32" s="2" t="s">
        <v>39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391</v>
      </c>
      <c r="B33" s="2" t="s">
        <v>392</v>
      </c>
      <c r="C33" s="2" t="s">
        <v>393</v>
      </c>
      <c r="D33" s="2" t="s">
        <v>395</v>
      </c>
      <c r="E33" s="2" t="s">
        <v>317</v>
      </c>
      <c r="F33" s="2" t="s">
        <v>310</v>
      </c>
      <c r="G33" s="2" t="s">
        <v>176</v>
      </c>
      <c r="H33" s="2" t="s">
        <v>99</v>
      </c>
      <c r="I33" s="2" t="s">
        <v>39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400</v>
      </c>
      <c r="B34" s="2" t="s">
        <v>401</v>
      </c>
      <c r="C34" s="2" t="s">
        <v>401</v>
      </c>
      <c r="D34" s="2" t="s">
        <v>402</v>
      </c>
      <c r="E34" s="2" t="s">
        <v>125</v>
      </c>
      <c r="F34" s="2" t="s">
        <v>114</v>
      </c>
      <c r="G34" s="2" t="s">
        <v>124</v>
      </c>
      <c r="H34" s="2" t="s">
        <v>38</v>
      </c>
      <c r="I34" s="2" t="s">
        <v>39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409</v>
      </c>
      <c r="B35" s="2" t="s">
        <v>411</v>
      </c>
      <c r="C35" s="2" t="s">
        <v>412</v>
      </c>
      <c r="D35" s="2" t="s">
        <v>414</v>
      </c>
      <c r="E35" s="2" t="s">
        <v>415</v>
      </c>
      <c r="F35" s="2" t="s">
        <v>235</v>
      </c>
      <c r="G35" s="2" t="s">
        <v>362</v>
      </c>
      <c r="H35" s="2" t="s">
        <v>38</v>
      </c>
      <c r="I35" s="2" t="s">
        <v>39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2" t="s">
        <v>5</v>
      </c>
      <c r="B1" s="2" t="s">
        <v>22</v>
      </c>
      <c r="C1" s="2" t="s">
        <v>23</v>
      </c>
      <c r="D1" s="2" t="s">
        <v>25</v>
      </c>
      <c r="E1" s="2" t="s">
        <v>9</v>
      </c>
      <c r="F1" s="2" t="s">
        <v>11</v>
      </c>
      <c r="G1" s="2" t="s">
        <v>30</v>
      </c>
      <c r="H1" s="2" t="s">
        <v>31</v>
      </c>
      <c r="I1" s="2" t="s">
        <v>13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41</v>
      </c>
      <c r="B2" s="2" t="s">
        <v>44</v>
      </c>
      <c r="C2" s="2" t="s">
        <v>47</v>
      </c>
      <c r="D2" s="2">
        <v>5.0</v>
      </c>
      <c r="E2" s="2" t="s">
        <v>52</v>
      </c>
      <c r="F2" s="2" t="s">
        <v>51</v>
      </c>
      <c r="G2" s="2" t="s">
        <v>57</v>
      </c>
      <c r="H2" s="2" t="s">
        <v>59</v>
      </c>
      <c r="I2" s="2" t="s">
        <v>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76</v>
      </c>
      <c r="B3" s="2" t="s">
        <v>81</v>
      </c>
      <c r="C3" s="2" t="s">
        <v>83</v>
      </c>
      <c r="D3" s="2">
        <v>5.0</v>
      </c>
      <c r="E3" s="2" t="s">
        <v>86</v>
      </c>
      <c r="F3" s="2" t="s">
        <v>51</v>
      </c>
      <c r="G3" s="2" t="s">
        <v>89</v>
      </c>
      <c r="H3" s="2" t="s">
        <v>92</v>
      </c>
      <c r="I3" s="2" t="s">
        <v>60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106</v>
      </c>
      <c r="B4" s="2" t="s">
        <v>109</v>
      </c>
      <c r="C4" s="2" t="s">
        <v>113</v>
      </c>
      <c r="D4" s="2">
        <v>5.0</v>
      </c>
      <c r="E4" s="2" t="s">
        <v>115</v>
      </c>
      <c r="F4" s="2" t="s">
        <v>51</v>
      </c>
      <c r="G4" s="2" t="s">
        <v>116</v>
      </c>
      <c r="H4" s="2" t="s">
        <v>117</v>
      </c>
      <c r="I4" s="2" t="s">
        <v>60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133</v>
      </c>
      <c r="B5" s="2" t="s">
        <v>135</v>
      </c>
      <c r="C5" s="2" t="s">
        <v>136</v>
      </c>
      <c r="D5" s="2">
        <v>5.0</v>
      </c>
      <c r="E5" s="2" t="s">
        <v>115</v>
      </c>
      <c r="F5" s="2" t="s">
        <v>51</v>
      </c>
      <c r="G5" s="2" t="s">
        <v>116</v>
      </c>
      <c r="H5" s="2" t="s">
        <v>139</v>
      </c>
      <c r="I5" s="2" t="s">
        <v>60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155</v>
      </c>
      <c r="B6" s="2" t="s">
        <v>157</v>
      </c>
      <c r="C6" s="2" t="s">
        <v>158</v>
      </c>
      <c r="D6" s="2">
        <v>5.0</v>
      </c>
      <c r="E6" s="2" t="s">
        <v>159</v>
      </c>
      <c r="F6" s="2" t="s">
        <v>51</v>
      </c>
      <c r="G6" s="2" t="s">
        <v>160</v>
      </c>
      <c r="H6" s="2" t="s">
        <v>161</v>
      </c>
      <c r="I6" s="2" t="s">
        <v>60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176</v>
      </c>
      <c r="B7" s="2" t="s">
        <v>177</v>
      </c>
      <c r="C7" s="2" t="s">
        <v>178</v>
      </c>
      <c r="D7" s="2">
        <v>4.0</v>
      </c>
      <c r="E7" s="2" t="s">
        <v>179</v>
      </c>
      <c r="F7" s="2" t="s">
        <v>51</v>
      </c>
      <c r="G7" s="2" t="s">
        <v>182</v>
      </c>
      <c r="H7" s="2" t="s">
        <v>186</v>
      </c>
      <c r="I7" s="2" t="s">
        <v>60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196</v>
      </c>
      <c r="B8" s="2" t="s">
        <v>198</v>
      </c>
      <c r="C8" s="2" t="s">
        <v>199</v>
      </c>
      <c r="D8" s="2">
        <v>4.0</v>
      </c>
      <c r="E8" s="2" t="s">
        <v>114</v>
      </c>
      <c r="F8" s="2" t="s">
        <v>142</v>
      </c>
      <c r="G8" s="2" t="s">
        <v>206</v>
      </c>
      <c r="H8" s="2" t="s">
        <v>208</v>
      </c>
      <c r="I8" s="2" t="s">
        <v>60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124</v>
      </c>
      <c r="B9" s="2" t="s">
        <v>215</v>
      </c>
      <c r="C9" s="2" t="s">
        <v>216</v>
      </c>
      <c r="D9" s="2">
        <v>4.0</v>
      </c>
      <c r="E9" s="2" t="s">
        <v>219</v>
      </c>
      <c r="F9" s="2" t="s">
        <v>142</v>
      </c>
      <c r="G9" s="2" t="s">
        <v>224</v>
      </c>
      <c r="H9" s="2" t="s">
        <v>227</v>
      </c>
      <c r="I9" s="2" t="s">
        <v>60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237</v>
      </c>
      <c r="B10" s="2" t="s">
        <v>239</v>
      </c>
      <c r="C10" s="2" t="s">
        <v>240</v>
      </c>
      <c r="D10" s="2">
        <v>3.0</v>
      </c>
      <c r="E10" s="2" t="s">
        <v>243</v>
      </c>
      <c r="F10" s="2" t="s">
        <v>190</v>
      </c>
      <c r="G10" s="2" t="s">
        <v>248</v>
      </c>
      <c r="H10" s="2" t="s">
        <v>249</v>
      </c>
      <c r="I10" s="2" t="s">
        <v>60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260</v>
      </c>
      <c r="B11" s="2" t="s">
        <v>261</v>
      </c>
      <c r="C11" s="2" t="s">
        <v>263</v>
      </c>
      <c r="D11" s="2">
        <v>3.0</v>
      </c>
      <c r="E11" s="2" t="s">
        <v>115</v>
      </c>
      <c r="F11" s="2" t="s">
        <v>142</v>
      </c>
      <c r="G11" s="2" t="s">
        <v>269</v>
      </c>
      <c r="H11" s="2" t="s">
        <v>271</v>
      </c>
      <c r="I11" s="2" t="s">
        <v>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285</v>
      </c>
      <c r="B12" s="2" t="s">
        <v>288</v>
      </c>
      <c r="C12" s="2" t="s">
        <v>292</v>
      </c>
      <c r="D12" s="2">
        <v>3.0</v>
      </c>
      <c r="E12" s="2" t="s">
        <v>265</v>
      </c>
      <c r="F12" s="2" t="s">
        <v>190</v>
      </c>
      <c r="G12" s="2" t="s">
        <v>297</v>
      </c>
      <c r="H12" s="2" t="s">
        <v>298</v>
      </c>
      <c r="I12" s="2" t="s">
        <v>60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313</v>
      </c>
      <c r="B13" s="2" t="s">
        <v>315</v>
      </c>
      <c r="C13" s="2" t="s">
        <v>316</v>
      </c>
      <c r="D13" s="2">
        <v>2.0</v>
      </c>
      <c r="E13" s="2" t="s">
        <v>265</v>
      </c>
      <c r="F13" s="2" t="s">
        <v>142</v>
      </c>
      <c r="G13" s="2" t="s">
        <v>323</v>
      </c>
      <c r="H13" s="2" t="s">
        <v>324</v>
      </c>
      <c r="I13" s="2" t="s">
        <v>60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328</v>
      </c>
      <c r="B14" s="2" t="s">
        <v>329</v>
      </c>
      <c r="C14" s="2" t="s">
        <v>330</v>
      </c>
      <c r="D14" s="2">
        <v>2.0</v>
      </c>
      <c r="E14" s="2" t="s">
        <v>333</v>
      </c>
      <c r="F14" s="2" t="s">
        <v>51</v>
      </c>
      <c r="G14" s="2" t="s">
        <v>339</v>
      </c>
      <c r="H14" s="2" t="s">
        <v>341</v>
      </c>
      <c r="I14" s="2" t="s">
        <v>60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134</v>
      </c>
      <c r="B15" s="2" t="s">
        <v>351</v>
      </c>
      <c r="C15" s="2" t="s">
        <v>353</v>
      </c>
      <c r="D15" s="2">
        <v>1.0</v>
      </c>
      <c r="E15" s="2" t="s">
        <v>84</v>
      </c>
      <c r="F15" s="2" t="s">
        <v>142</v>
      </c>
      <c r="G15" s="2" t="s">
        <v>35</v>
      </c>
      <c r="H15" s="2" t="s">
        <v>359</v>
      </c>
      <c r="I15" s="2" t="s">
        <v>60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362</v>
      </c>
      <c r="B16" s="2" t="s">
        <v>372</v>
      </c>
      <c r="C16" s="2" t="s">
        <v>373</v>
      </c>
      <c r="D16" s="2">
        <v>3.0</v>
      </c>
      <c r="E16" s="2" t="s">
        <v>265</v>
      </c>
      <c r="F16" s="2" t="s">
        <v>51</v>
      </c>
      <c r="G16" s="2" t="s">
        <v>375</v>
      </c>
      <c r="H16" s="2" t="s">
        <v>377</v>
      </c>
      <c r="I16" s="2" t="s">
        <v>60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384</v>
      </c>
      <c r="B17" s="2" t="s">
        <v>387</v>
      </c>
      <c r="C17" s="2" t="s">
        <v>388</v>
      </c>
      <c r="D17" s="2">
        <v>3.0</v>
      </c>
      <c r="E17" s="2" t="s">
        <v>390</v>
      </c>
      <c r="F17" s="2" t="s">
        <v>51</v>
      </c>
      <c r="G17" s="2" t="s">
        <v>394</v>
      </c>
      <c r="H17" s="2" t="s">
        <v>396</v>
      </c>
      <c r="I17" s="2" t="s">
        <v>60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403</v>
      </c>
      <c r="B18" s="2" t="s">
        <v>404</v>
      </c>
      <c r="C18" s="2" t="s">
        <v>406</v>
      </c>
      <c r="D18" s="2">
        <v>2.0</v>
      </c>
      <c r="E18" s="2" t="s">
        <v>408</v>
      </c>
      <c r="F18" s="2" t="s">
        <v>51</v>
      </c>
      <c r="G18" s="2" t="s">
        <v>413</v>
      </c>
      <c r="H18" s="2" t="s">
        <v>416</v>
      </c>
      <c r="I18" s="2" t="s">
        <v>60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419</v>
      </c>
      <c r="B19" s="2" t="s">
        <v>421</v>
      </c>
      <c r="C19" s="2" t="s">
        <v>422</v>
      </c>
      <c r="D19" s="2">
        <v>1.0</v>
      </c>
      <c r="E19" s="2" t="s">
        <v>86</v>
      </c>
      <c r="F19" s="2" t="s">
        <v>142</v>
      </c>
      <c r="G19" s="2" t="s">
        <v>423</v>
      </c>
      <c r="H19" s="2" t="s">
        <v>424</v>
      </c>
      <c r="I19" s="2" t="s">
        <v>60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2" t="s">
        <v>20</v>
      </c>
      <c r="B1" s="2" t="s">
        <v>21</v>
      </c>
      <c r="C1" s="2" t="s">
        <v>24</v>
      </c>
      <c r="D1" s="2" t="s">
        <v>26</v>
      </c>
      <c r="E1" s="2" t="s">
        <v>27</v>
      </c>
      <c r="F1" s="2" t="s">
        <v>28</v>
      </c>
      <c r="G1" s="2" t="s">
        <v>29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35</v>
      </c>
      <c r="B2" s="2" t="s">
        <v>42</v>
      </c>
      <c r="C2" s="2" t="s">
        <v>43</v>
      </c>
      <c r="D2" s="2" t="s">
        <v>46</v>
      </c>
      <c r="E2" s="2">
        <v>12.0</v>
      </c>
      <c r="F2" s="2" t="s">
        <v>53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70</v>
      </c>
      <c r="B3" s="2" t="s">
        <v>71</v>
      </c>
      <c r="C3" s="2" t="s">
        <v>72</v>
      </c>
      <c r="D3" s="2" t="s">
        <v>73</v>
      </c>
      <c r="E3" s="2">
        <v>1.0</v>
      </c>
      <c r="F3" s="2" t="s">
        <v>77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100</v>
      </c>
      <c r="B4" s="2" t="s">
        <v>101</v>
      </c>
      <c r="C4" s="2" t="s">
        <v>72</v>
      </c>
      <c r="D4" s="2" t="s">
        <v>105</v>
      </c>
      <c r="E4" s="2">
        <v>1.0</v>
      </c>
      <c r="F4" s="2" t="s">
        <v>108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125</v>
      </c>
      <c r="B5" s="2" t="s">
        <v>126</v>
      </c>
      <c r="C5" s="2" t="s">
        <v>127</v>
      </c>
      <c r="D5" s="2" t="s">
        <v>128</v>
      </c>
      <c r="E5" s="2">
        <v>1.0</v>
      </c>
      <c r="F5" s="2" t="s">
        <v>132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147</v>
      </c>
      <c r="B6" s="2" t="s">
        <v>149</v>
      </c>
      <c r="C6" s="2" t="s">
        <v>72</v>
      </c>
      <c r="D6" s="2" t="s">
        <v>150</v>
      </c>
      <c r="E6" s="2">
        <v>1.0</v>
      </c>
      <c r="F6" s="2" t="s">
        <v>152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167</v>
      </c>
      <c r="B7" s="2" t="s">
        <v>168</v>
      </c>
      <c r="C7" s="2" t="s">
        <v>72</v>
      </c>
      <c r="D7" s="2" t="s">
        <v>169</v>
      </c>
      <c r="E7" s="2">
        <v>1.0</v>
      </c>
      <c r="F7" s="2" t="s">
        <v>170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187</v>
      </c>
      <c r="B8" s="2" t="s">
        <v>188</v>
      </c>
      <c r="C8" s="2" t="s">
        <v>43</v>
      </c>
      <c r="D8" s="2" t="s">
        <v>189</v>
      </c>
      <c r="E8" s="2">
        <v>0.0</v>
      </c>
      <c r="F8" s="2" t="s">
        <v>191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201</v>
      </c>
      <c r="B9" s="2" t="s">
        <v>203</v>
      </c>
      <c r="C9" s="2" t="s">
        <v>205</v>
      </c>
      <c r="D9" s="2" t="s">
        <v>209</v>
      </c>
      <c r="E9" s="2">
        <v>3.0</v>
      </c>
      <c r="F9" s="2" t="s">
        <v>210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217</v>
      </c>
      <c r="B10" s="2" t="s">
        <v>221</v>
      </c>
      <c r="C10" s="2" t="s">
        <v>223</v>
      </c>
      <c r="D10" s="2" t="s">
        <v>226</v>
      </c>
      <c r="E10" s="2">
        <v>2.0</v>
      </c>
      <c r="F10" s="2" t="s">
        <v>228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245</v>
      </c>
      <c r="B11" s="2" t="s">
        <v>247</v>
      </c>
      <c r="C11" s="2" t="s">
        <v>223</v>
      </c>
      <c r="D11" s="2" t="s">
        <v>250</v>
      </c>
      <c r="E11" s="2">
        <v>1.0</v>
      </c>
      <c r="F11" s="2" t="s">
        <v>251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266</v>
      </c>
      <c r="B12" s="2" t="s">
        <v>267</v>
      </c>
      <c r="C12" s="2" t="s">
        <v>223</v>
      </c>
      <c r="D12" s="2" t="s">
        <v>273</v>
      </c>
      <c r="E12" s="2">
        <v>3.0</v>
      </c>
      <c r="F12" s="2" t="s">
        <v>274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293</v>
      </c>
      <c r="B13" s="2" t="s">
        <v>295</v>
      </c>
      <c r="C13" s="2" t="s">
        <v>223</v>
      </c>
      <c r="D13" s="2" t="s">
        <v>296</v>
      </c>
      <c r="E13" s="2">
        <v>1.0</v>
      </c>
      <c r="F13" s="2" t="s">
        <v>300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317</v>
      </c>
      <c r="B14" s="2" t="s">
        <v>318</v>
      </c>
      <c r="C14" s="2" t="s">
        <v>320</v>
      </c>
      <c r="D14" s="2" t="s">
        <v>322</v>
      </c>
      <c r="E14" s="2">
        <v>8.0</v>
      </c>
      <c r="F14" s="2" t="s">
        <v>325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331</v>
      </c>
      <c r="B15" s="2" t="s">
        <v>332</v>
      </c>
      <c r="C15" s="2" t="s">
        <v>334</v>
      </c>
      <c r="D15" s="2" t="s">
        <v>336</v>
      </c>
      <c r="E15" s="2">
        <v>4.0</v>
      </c>
      <c r="F15" s="2" t="s">
        <v>340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354</v>
      </c>
      <c r="B16" s="2" t="s">
        <v>356</v>
      </c>
      <c r="C16" s="2" t="s">
        <v>223</v>
      </c>
      <c r="D16" s="2" t="s">
        <v>361</v>
      </c>
      <c r="E16" s="2">
        <v>15.0</v>
      </c>
      <c r="F16" s="2" t="s">
        <v>363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3.29"/>
    <col customWidth="1" min="3" max="5" width="8.71"/>
    <col customWidth="1" min="6" max="6" width="22.0"/>
    <col customWidth="1" min="7" max="7" width="43.29"/>
    <col customWidth="1" min="8" max="8" width="8.71"/>
  </cols>
  <sheetData>
    <row r="1">
      <c r="A1" s="1" t="s">
        <v>0</v>
      </c>
      <c r="B1" s="2" t="s">
        <v>2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16</v>
      </c>
      <c r="I1" s="4" t="s">
        <v>17</v>
      </c>
      <c r="J1" s="4" t="s">
        <v>18</v>
      </c>
      <c r="K1" s="4" t="s">
        <v>19</v>
      </c>
      <c r="L1" s="3"/>
      <c r="M1" s="3"/>
      <c r="N1" s="3" t="str">
        <f>MATCH(4, A:A, 0)</f>
        <v>#ERROR!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tr">
        <f>MATCH(1, A:A, 0)</f>
        <v>#ERROR!</v>
      </c>
    </row>
    <row r="2">
      <c r="A2" s="5">
        <v>1.0</v>
      </c>
      <c r="B2" s="5" t="s">
        <v>40</v>
      </c>
      <c r="C2" s="5" t="s">
        <v>41</v>
      </c>
      <c r="D2" s="5" t="s">
        <v>45</v>
      </c>
      <c r="E2" s="5" t="s">
        <v>48</v>
      </c>
      <c r="F2" s="5" t="s">
        <v>51</v>
      </c>
      <c r="G2" s="6" t="s">
        <v>58</v>
      </c>
      <c r="H2" s="5" t="s">
        <v>61</v>
      </c>
      <c r="I2" s="4" t="s">
        <v>62</v>
      </c>
      <c r="J2" s="4" t="s">
        <v>63</v>
      </c>
      <c r="K2" s="3"/>
      <c r="L2" s="3"/>
      <c r="M2" s="3"/>
      <c r="N2" s="3" t="str">
        <f>MATCH(15, A:A, 0)</f>
        <v>#ERROR!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>
      <c r="A3" s="5">
        <v>2.0</v>
      </c>
      <c r="B3" s="5" t="s">
        <v>74</v>
      </c>
      <c r="C3" s="5" t="s">
        <v>41</v>
      </c>
      <c r="D3" s="5" t="s">
        <v>79</v>
      </c>
      <c r="E3" s="5" t="s">
        <v>48</v>
      </c>
      <c r="F3" s="5" t="s">
        <v>51</v>
      </c>
      <c r="G3" s="6" t="s">
        <v>87</v>
      </c>
      <c r="H3" s="5" t="s">
        <v>88</v>
      </c>
      <c r="I3" s="4" t="s">
        <v>90</v>
      </c>
      <c r="J3" s="4" t="s">
        <v>91</v>
      </c>
      <c r="K3" s="3"/>
      <c r="L3" s="3"/>
      <c r="M3" s="3"/>
      <c r="N3" s="3" t="str">
        <f>MATCH(16, A:A, 0)</f>
        <v>#ERROR!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3.0</v>
      </c>
      <c r="B4" s="5" t="s">
        <v>103</v>
      </c>
      <c r="C4" s="5" t="s">
        <v>41</v>
      </c>
      <c r="D4" s="5" t="s">
        <v>111</v>
      </c>
      <c r="E4" s="5" t="s">
        <v>114</v>
      </c>
      <c r="F4" s="5" t="s">
        <v>51</v>
      </c>
      <c r="G4" s="6" t="s">
        <v>87</v>
      </c>
      <c r="H4" s="5"/>
      <c r="I4" s="4" t="s">
        <v>119</v>
      </c>
      <c r="J4" s="4" t="s">
        <v>121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4.0</v>
      </c>
      <c r="B5" s="5" t="s">
        <v>137</v>
      </c>
      <c r="C5" s="5" t="s">
        <v>41</v>
      </c>
      <c r="D5" s="5" t="s">
        <v>138</v>
      </c>
      <c r="E5" s="5" t="s">
        <v>48</v>
      </c>
      <c r="F5" s="5" t="s">
        <v>142</v>
      </c>
      <c r="G5" s="6" t="s">
        <v>145</v>
      </c>
      <c r="H5" s="5" t="s">
        <v>146</v>
      </c>
      <c r="I5" s="4" t="s">
        <v>90</v>
      </c>
      <c r="J5" s="4" t="s">
        <v>148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5.0</v>
      </c>
      <c r="B6" s="5" t="s">
        <v>175</v>
      </c>
      <c r="C6" s="5" t="s">
        <v>41</v>
      </c>
      <c r="D6" s="5" t="s">
        <v>184</v>
      </c>
      <c r="E6" s="5" t="s">
        <v>48</v>
      </c>
      <c r="F6" s="5" t="s">
        <v>190</v>
      </c>
      <c r="G6" s="5" t="s">
        <v>60</v>
      </c>
      <c r="H6" s="5" t="s">
        <v>197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6.0</v>
      </c>
      <c r="B7" s="5" t="s">
        <v>229</v>
      </c>
      <c r="C7" s="5" t="s">
        <v>76</v>
      </c>
      <c r="D7" s="5" t="s">
        <v>232</v>
      </c>
      <c r="E7" s="5" t="s">
        <v>86</v>
      </c>
      <c r="F7" s="5" t="s">
        <v>51</v>
      </c>
      <c r="G7" s="6" t="s">
        <v>236</v>
      </c>
      <c r="H7" s="5" t="s">
        <v>238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v>7.0</v>
      </c>
      <c r="B8" s="2" t="s">
        <v>253</v>
      </c>
      <c r="C8" s="2" t="s">
        <v>76</v>
      </c>
      <c r="D8" s="2" t="s">
        <v>257</v>
      </c>
      <c r="E8" s="2" t="s">
        <v>84</v>
      </c>
      <c r="F8" s="2" t="s">
        <v>51</v>
      </c>
      <c r="G8" s="1" t="s">
        <v>258</v>
      </c>
      <c r="H8" s="2" t="s">
        <v>259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>
        <v>8.0</v>
      </c>
      <c r="B9" s="2" t="s">
        <v>270</v>
      </c>
      <c r="C9" s="2" t="s">
        <v>76</v>
      </c>
      <c r="D9" s="2" t="s">
        <v>272</v>
      </c>
      <c r="E9" s="2" t="s">
        <v>48</v>
      </c>
      <c r="F9" s="2" t="s">
        <v>142</v>
      </c>
      <c r="G9" s="1" t="s">
        <v>258</v>
      </c>
      <c r="H9" s="2" t="s">
        <v>275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>
        <v>9.0</v>
      </c>
      <c r="B10" s="2" t="s">
        <v>282</v>
      </c>
      <c r="C10" s="2" t="s">
        <v>76</v>
      </c>
      <c r="D10" s="2" t="s">
        <v>283</v>
      </c>
      <c r="E10" s="2" t="s">
        <v>284</v>
      </c>
      <c r="F10" s="2" t="s">
        <v>142</v>
      </c>
      <c r="G10" s="2" t="s">
        <v>60</v>
      </c>
      <c r="H10" s="2" t="s">
        <v>286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>
        <v>10.0</v>
      </c>
      <c r="B11" s="2" t="s">
        <v>299</v>
      </c>
      <c r="C11" s="2" t="s">
        <v>76</v>
      </c>
      <c r="D11" s="2" t="s">
        <v>301</v>
      </c>
      <c r="E11" s="2" t="s">
        <v>86</v>
      </c>
      <c r="F11" s="2" t="s">
        <v>142</v>
      </c>
      <c r="G11" s="2" t="s">
        <v>60</v>
      </c>
      <c r="H11" s="2" t="s">
        <v>304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>
        <v>11.0</v>
      </c>
      <c r="B12" s="2" t="s">
        <v>308</v>
      </c>
      <c r="C12" s="2" t="s">
        <v>176</v>
      </c>
      <c r="D12" s="2" t="s">
        <v>309</v>
      </c>
      <c r="E12" s="2" t="s">
        <v>310</v>
      </c>
      <c r="F12" s="2" t="s">
        <v>51</v>
      </c>
      <c r="G12" s="1" t="s">
        <v>312</v>
      </c>
      <c r="H12" s="2" t="s">
        <v>321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>
        <v>12.0</v>
      </c>
      <c r="B13" s="2" t="s">
        <v>343</v>
      </c>
      <c r="C13" s="2" t="s">
        <v>176</v>
      </c>
      <c r="D13" s="2" t="s">
        <v>344</v>
      </c>
      <c r="E13" s="2" t="s">
        <v>310</v>
      </c>
      <c r="F13" s="2" t="s">
        <v>142</v>
      </c>
      <c r="G13" s="2" t="s">
        <v>60</v>
      </c>
      <c r="H13" s="2" t="s">
        <v>345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>
        <v>13.0</v>
      </c>
      <c r="B14" s="2" t="s">
        <v>349</v>
      </c>
      <c r="C14" s="2" t="s">
        <v>176</v>
      </c>
      <c r="D14" s="2" t="s">
        <v>350</v>
      </c>
      <c r="E14" s="2" t="s">
        <v>284</v>
      </c>
      <c r="F14" s="2" t="s">
        <v>142</v>
      </c>
      <c r="G14" s="2" t="s">
        <v>60</v>
      </c>
      <c r="H14" s="2" t="s">
        <v>352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>
        <v>14.0</v>
      </c>
      <c r="B15" s="2" t="s">
        <v>364</v>
      </c>
      <c r="C15" s="2" t="s">
        <v>176</v>
      </c>
      <c r="D15" s="2" t="s">
        <v>365</v>
      </c>
      <c r="E15" s="2" t="s">
        <v>366</v>
      </c>
      <c r="F15" s="2" t="s">
        <v>190</v>
      </c>
      <c r="G15" s="2" t="s">
        <v>60</v>
      </c>
      <c r="H15" s="2" t="s">
        <v>367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>
        <v>15.0</v>
      </c>
      <c r="B16" s="2" t="s">
        <v>374</v>
      </c>
      <c r="C16" s="2" t="s">
        <v>106</v>
      </c>
      <c r="D16" s="2" t="s">
        <v>376</v>
      </c>
      <c r="E16" s="2" t="s">
        <v>48</v>
      </c>
      <c r="F16" s="2" t="s">
        <v>51</v>
      </c>
      <c r="G16" s="1" t="s">
        <v>145</v>
      </c>
      <c r="H16" s="2" t="s">
        <v>380</v>
      </c>
      <c r="I16" s="4" t="s">
        <v>90</v>
      </c>
      <c r="J16" s="4" t="s">
        <v>148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>
        <v>16.0</v>
      </c>
      <c r="B17" s="2" t="s">
        <v>385</v>
      </c>
      <c r="C17" s="2" t="s">
        <v>106</v>
      </c>
      <c r="D17" s="2" t="s">
        <v>386</v>
      </c>
      <c r="E17" s="2" t="s">
        <v>84</v>
      </c>
      <c r="F17" s="2" t="s">
        <v>51</v>
      </c>
      <c r="G17" s="1" t="s">
        <v>145</v>
      </c>
      <c r="H17" s="2" t="s">
        <v>389</v>
      </c>
      <c r="I17" s="4" t="s">
        <v>90</v>
      </c>
      <c r="J17" s="4" t="s">
        <v>148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>
        <v>17.0</v>
      </c>
      <c r="B18" s="2" t="s">
        <v>397</v>
      </c>
      <c r="C18" s="2" t="s">
        <v>106</v>
      </c>
      <c r="D18" s="2" t="s">
        <v>398</v>
      </c>
      <c r="E18" s="2" t="s">
        <v>48</v>
      </c>
      <c r="F18" s="2" t="s">
        <v>142</v>
      </c>
      <c r="G18" s="2" t="s">
        <v>60</v>
      </c>
      <c r="H18" s="2" t="s">
        <v>399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>
        <v>18.0</v>
      </c>
      <c r="B19" s="2" t="s">
        <v>405</v>
      </c>
      <c r="C19" s="2" t="s">
        <v>106</v>
      </c>
      <c r="D19" s="2" t="s">
        <v>407</v>
      </c>
      <c r="E19" s="2" t="s">
        <v>165</v>
      </c>
      <c r="F19" s="2" t="s">
        <v>142</v>
      </c>
      <c r="G19" s="2" t="s">
        <v>60</v>
      </c>
      <c r="H19" s="2" t="s">
        <v>410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>
        <v>19.0</v>
      </c>
      <c r="B20" s="2" t="s">
        <v>417</v>
      </c>
      <c r="C20" s="2" t="s">
        <v>106</v>
      </c>
      <c r="D20" s="2" t="s">
        <v>418</v>
      </c>
      <c r="E20" s="2" t="s">
        <v>48</v>
      </c>
      <c r="F20" s="2" t="s">
        <v>190</v>
      </c>
      <c r="G20" s="2" t="s">
        <v>60</v>
      </c>
      <c r="H20" s="2" t="s">
        <v>420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>
        <v>20.0</v>
      </c>
      <c r="B21" s="2" t="s">
        <v>425</v>
      </c>
      <c r="C21" s="2" t="s">
        <v>133</v>
      </c>
      <c r="D21" s="2" t="s">
        <v>426</v>
      </c>
      <c r="E21" s="2" t="s">
        <v>48</v>
      </c>
      <c r="F21" s="2" t="s">
        <v>51</v>
      </c>
      <c r="G21" s="1" t="s">
        <v>312</v>
      </c>
      <c r="H21" s="2" t="s">
        <v>427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>
        <v>21.0</v>
      </c>
      <c r="B22" s="2" t="s">
        <v>428</v>
      </c>
      <c r="C22" s="2" t="s">
        <v>133</v>
      </c>
      <c r="D22" s="2" t="s">
        <v>429</v>
      </c>
      <c r="E22" s="2" t="s">
        <v>84</v>
      </c>
      <c r="F22" s="2" t="s">
        <v>51</v>
      </c>
      <c r="G22" s="2" t="s">
        <v>60</v>
      </c>
      <c r="H22" s="2" t="s">
        <v>430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>
        <v>22.0</v>
      </c>
      <c r="B23" s="2" t="s">
        <v>431</v>
      </c>
      <c r="C23" s="2" t="s">
        <v>133</v>
      </c>
      <c r="D23" s="2" t="s">
        <v>432</v>
      </c>
      <c r="E23" s="2" t="s">
        <v>48</v>
      </c>
      <c r="F23" s="2" t="s">
        <v>142</v>
      </c>
      <c r="G23" s="2" t="s">
        <v>60</v>
      </c>
      <c r="H23" s="2" t="s">
        <v>433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>
        <v>23.0</v>
      </c>
      <c r="B24" s="2" t="s">
        <v>434</v>
      </c>
      <c r="C24" s="2" t="s">
        <v>133</v>
      </c>
      <c r="D24" s="2" t="s">
        <v>435</v>
      </c>
      <c r="E24" s="2" t="s">
        <v>165</v>
      </c>
      <c r="F24" s="2" t="s">
        <v>190</v>
      </c>
      <c r="G24" s="2" t="s">
        <v>60</v>
      </c>
      <c r="H24" s="2" t="s">
        <v>436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>
        <v>24.0</v>
      </c>
      <c r="B25" s="2" t="s">
        <v>437</v>
      </c>
      <c r="C25" s="2" t="s">
        <v>133</v>
      </c>
      <c r="D25" s="2" t="s">
        <v>438</v>
      </c>
      <c r="E25" s="2" t="s">
        <v>114</v>
      </c>
      <c r="F25" s="2" t="s">
        <v>190</v>
      </c>
      <c r="G25" s="2" t="s">
        <v>60</v>
      </c>
      <c r="H25" s="2" t="s">
        <v>439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>
        <v>25.0</v>
      </c>
      <c r="B26" s="2" t="s">
        <v>440</v>
      </c>
      <c r="C26" s="2" t="s">
        <v>155</v>
      </c>
      <c r="D26" s="2" t="s">
        <v>441</v>
      </c>
      <c r="E26" s="2" t="s">
        <v>442</v>
      </c>
      <c r="F26" s="2" t="s">
        <v>51</v>
      </c>
      <c r="G26" s="1" t="s">
        <v>312</v>
      </c>
      <c r="H26" s="2" t="s">
        <v>443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>
        <v>26.0</v>
      </c>
      <c r="B27" s="2" t="s">
        <v>444</v>
      </c>
      <c r="C27" s="2" t="s">
        <v>155</v>
      </c>
      <c r="D27" s="2" t="s">
        <v>445</v>
      </c>
      <c r="E27" s="2" t="s">
        <v>48</v>
      </c>
      <c r="F27" s="2" t="s">
        <v>51</v>
      </c>
      <c r="G27" s="2" t="s">
        <v>60</v>
      </c>
      <c r="H27" s="2" t="s">
        <v>446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>
        <v>27.0</v>
      </c>
      <c r="B28" s="2" t="s">
        <v>447</v>
      </c>
      <c r="C28" s="2" t="s">
        <v>155</v>
      </c>
      <c r="D28" s="2" t="s">
        <v>448</v>
      </c>
      <c r="E28" s="2" t="s">
        <v>449</v>
      </c>
      <c r="F28" s="2" t="s">
        <v>142</v>
      </c>
      <c r="G28" s="2" t="s">
        <v>60</v>
      </c>
      <c r="H28" s="2" t="s">
        <v>450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>
        <v>28.0</v>
      </c>
      <c r="B29" s="2" t="s">
        <v>451</v>
      </c>
      <c r="C29" s="2" t="s">
        <v>155</v>
      </c>
      <c r="D29" s="2" t="s">
        <v>452</v>
      </c>
      <c r="E29" s="2" t="s">
        <v>114</v>
      </c>
      <c r="F29" s="2" t="s">
        <v>142</v>
      </c>
      <c r="G29" s="2" t="s">
        <v>60</v>
      </c>
      <c r="H29" s="2" t="s">
        <v>453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>
        <v>29.0</v>
      </c>
      <c r="B30" s="2" t="s">
        <v>454</v>
      </c>
      <c r="C30" s="2" t="s">
        <v>155</v>
      </c>
      <c r="D30" s="2" t="s">
        <v>455</v>
      </c>
      <c r="E30" s="2" t="s">
        <v>48</v>
      </c>
      <c r="F30" s="2" t="s">
        <v>142</v>
      </c>
      <c r="G30" s="2" t="s">
        <v>60</v>
      </c>
      <c r="H30" s="2" t="s">
        <v>456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>
        <v>30.0</v>
      </c>
      <c r="B31" s="2" t="s">
        <v>457</v>
      </c>
      <c r="C31" s="2" t="s">
        <v>124</v>
      </c>
      <c r="D31" s="2" t="s">
        <v>458</v>
      </c>
      <c r="E31" s="2" t="s">
        <v>114</v>
      </c>
      <c r="F31" s="2" t="s">
        <v>142</v>
      </c>
      <c r="G31" s="2" t="s">
        <v>60</v>
      </c>
      <c r="H31" s="2" t="s">
        <v>459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>
        <v>31.0</v>
      </c>
      <c r="B32" s="2" t="s">
        <v>460</v>
      </c>
      <c r="C32" s="2" t="s">
        <v>134</v>
      </c>
      <c r="D32" s="2" t="s">
        <v>461</v>
      </c>
      <c r="E32" s="2" t="s">
        <v>84</v>
      </c>
      <c r="F32" s="2" t="s">
        <v>142</v>
      </c>
      <c r="G32" s="2" t="s">
        <v>60</v>
      </c>
      <c r="H32" s="2" t="s">
        <v>462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>
        <v>32.0</v>
      </c>
      <c r="B33" s="2" t="s">
        <v>463</v>
      </c>
      <c r="C33" s="2" t="s">
        <v>124</v>
      </c>
      <c r="D33" s="2" t="s">
        <v>464</v>
      </c>
      <c r="E33" s="2" t="s">
        <v>114</v>
      </c>
      <c r="F33" s="2" t="s">
        <v>190</v>
      </c>
      <c r="G33" s="2" t="s">
        <v>60</v>
      </c>
      <c r="H33" s="2" t="s">
        <v>465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>
        <v>33.0</v>
      </c>
      <c r="B34" s="2" t="s">
        <v>466</v>
      </c>
      <c r="C34" s="2" t="s">
        <v>124</v>
      </c>
      <c r="D34" s="2" t="s">
        <v>467</v>
      </c>
      <c r="E34" s="2" t="s">
        <v>86</v>
      </c>
      <c r="F34" s="2" t="s">
        <v>190</v>
      </c>
      <c r="G34" s="2" t="s">
        <v>60</v>
      </c>
      <c r="H34" s="2" t="s">
        <v>468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>
        <v>34.0</v>
      </c>
      <c r="B35" s="2" t="s">
        <v>469</v>
      </c>
      <c r="C35" s="2" t="s">
        <v>196</v>
      </c>
      <c r="D35" s="2" t="s">
        <v>470</v>
      </c>
      <c r="E35" s="2" t="s">
        <v>48</v>
      </c>
      <c r="F35" s="2" t="s">
        <v>142</v>
      </c>
      <c r="G35" s="2" t="s">
        <v>60</v>
      </c>
      <c r="H35" s="2" t="s">
        <v>471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>
        <v>35.0</v>
      </c>
      <c r="B36" s="2" t="s">
        <v>472</v>
      </c>
      <c r="C36" s="2" t="s">
        <v>196</v>
      </c>
      <c r="D36" s="2" t="s">
        <v>473</v>
      </c>
      <c r="E36" s="2" t="s">
        <v>114</v>
      </c>
      <c r="F36" s="2" t="s">
        <v>142</v>
      </c>
      <c r="G36" s="2" t="s">
        <v>60</v>
      </c>
      <c r="H36" s="2" t="s">
        <v>474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>
        <v>36.0</v>
      </c>
      <c r="B37" s="2" t="s">
        <v>475</v>
      </c>
      <c r="C37" s="2" t="s">
        <v>196</v>
      </c>
      <c r="D37" s="2" t="s">
        <v>476</v>
      </c>
      <c r="E37" s="2" t="s">
        <v>114</v>
      </c>
      <c r="F37" s="2" t="s">
        <v>190</v>
      </c>
      <c r="G37" s="2" t="s">
        <v>60</v>
      </c>
      <c r="H37" s="2" t="s">
        <v>477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>
        <v>37.0</v>
      </c>
      <c r="B38" s="2" t="s">
        <v>478</v>
      </c>
      <c r="C38" s="2" t="s">
        <v>196</v>
      </c>
      <c r="D38" s="2" t="s">
        <v>479</v>
      </c>
      <c r="E38" s="2" t="s">
        <v>114</v>
      </c>
      <c r="F38" s="2" t="s">
        <v>142</v>
      </c>
      <c r="G38" s="2" t="s">
        <v>60</v>
      </c>
      <c r="H38" s="2" t="s">
        <v>480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>
        <v>38.0</v>
      </c>
      <c r="B39" s="2" t="s">
        <v>481</v>
      </c>
      <c r="C39" s="2" t="s">
        <v>237</v>
      </c>
      <c r="D39" s="2" t="s">
        <v>482</v>
      </c>
      <c r="E39" s="2" t="s">
        <v>86</v>
      </c>
      <c r="F39" s="2" t="s">
        <v>190</v>
      </c>
      <c r="G39" s="2" t="s">
        <v>60</v>
      </c>
      <c r="H39" s="2" t="s">
        <v>483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>
        <v>39.0</v>
      </c>
      <c r="B40" s="2" t="s">
        <v>484</v>
      </c>
      <c r="C40" s="2" t="s">
        <v>237</v>
      </c>
      <c r="D40" s="2" t="s">
        <v>485</v>
      </c>
      <c r="E40" s="2" t="s">
        <v>114</v>
      </c>
      <c r="F40" s="2" t="s">
        <v>190</v>
      </c>
      <c r="G40" s="2" t="s">
        <v>60</v>
      </c>
      <c r="H40" s="2" t="s">
        <v>486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>
        <v>40.0</v>
      </c>
      <c r="B41" s="2" t="s">
        <v>487</v>
      </c>
      <c r="C41" s="2" t="s">
        <v>237</v>
      </c>
      <c r="D41" s="2" t="s">
        <v>488</v>
      </c>
      <c r="E41" s="2" t="s">
        <v>48</v>
      </c>
      <c r="F41" s="2" t="s">
        <v>190</v>
      </c>
      <c r="G41" s="2" t="s">
        <v>60</v>
      </c>
      <c r="H41" s="2" t="s">
        <v>489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>
        <v>41.0</v>
      </c>
      <c r="B42" s="2" t="s">
        <v>490</v>
      </c>
      <c r="C42" s="2" t="s">
        <v>313</v>
      </c>
      <c r="D42" s="2" t="s">
        <v>491</v>
      </c>
      <c r="E42" s="2" t="s">
        <v>48</v>
      </c>
      <c r="F42" s="2" t="s">
        <v>142</v>
      </c>
      <c r="G42" s="2" t="s">
        <v>60</v>
      </c>
      <c r="H42" s="2" t="s">
        <v>492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>
        <v>42.0</v>
      </c>
      <c r="B43" s="2" t="s">
        <v>493</v>
      </c>
      <c r="C43" s="2" t="s">
        <v>313</v>
      </c>
      <c r="D43" s="2" t="s">
        <v>494</v>
      </c>
      <c r="E43" s="2" t="s">
        <v>114</v>
      </c>
      <c r="F43" s="2" t="s">
        <v>142</v>
      </c>
      <c r="G43" s="2" t="s">
        <v>60</v>
      </c>
      <c r="H43" s="2" t="s">
        <v>495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>
        <v>43.0</v>
      </c>
      <c r="B44" s="2" t="s">
        <v>496</v>
      </c>
      <c r="C44" s="2" t="s">
        <v>260</v>
      </c>
      <c r="D44" s="2" t="s">
        <v>497</v>
      </c>
      <c r="E44" s="2" t="s">
        <v>48</v>
      </c>
      <c r="F44" s="2" t="s">
        <v>51</v>
      </c>
      <c r="G44" s="2" t="s">
        <v>60</v>
      </c>
      <c r="H44" s="2" t="s">
        <v>498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>
        <v>44.0</v>
      </c>
      <c r="B45" s="2" t="s">
        <v>499</v>
      </c>
      <c r="C45" s="2" t="s">
        <v>260</v>
      </c>
      <c r="D45" s="2" t="s">
        <v>500</v>
      </c>
      <c r="E45" s="2" t="s">
        <v>165</v>
      </c>
      <c r="F45" s="2" t="s">
        <v>142</v>
      </c>
      <c r="G45" s="2" t="s">
        <v>60</v>
      </c>
      <c r="H45" s="2" t="s">
        <v>501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45.0</v>
      </c>
      <c r="B46" s="2" t="s">
        <v>502</v>
      </c>
      <c r="C46" s="2" t="s">
        <v>260</v>
      </c>
      <c r="D46" s="2" t="s">
        <v>503</v>
      </c>
      <c r="E46" s="2" t="s">
        <v>48</v>
      </c>
      <c r="F46" s="2" t="s">
        <v>190</v>
      </c>
      <c r="G46" s="2" t="s">
        <v>60</v>
      </c>
      <c r="H46" s="2" t="s">
        <v>504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>
        <v>46.0</v>
      </c>
      <c r="B47" s="2" t="s">
        <v>505</v>
      </c>
      <c r="C47" s="2" t="s">
        <v>328</v>
      </c>
      <c r="D47" s="2" t="s">
        <v>506</v>
      </c>
      <c r="E47" s="2" t="s">
        <v>48</v>
      </c>
      <c r="F47" s="2" t="s">
        <v>142</v>
      </c>
      <c r="G47" s="2" t="s">
        <v>60</v>
      </c>
      <c r="H47" s="2" t="s">
        <v>507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>
        <v>47.0</v>
      </c>
      <c r="B48" s="2" t="s">
        <v>508</v>
      </c>
      <c r="C48" s="2" t="s">
        <v>328</v>
      </c>
      <c r="D48" s="2" t="s">
        <v>509</v>
      </c>
      <c r="E48" s="2" t="s">
        <v>86</v>
      </c>
      <c r="F48" s="2" t="s">
        <v>51</v>
      </c>
      <c r="G48" s="2" t="s">
        <v>60</v>
      </c>
      <c r="H48" s="2" t="s">
        <v>510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>
        <v>48.0</v>
      </c>
      <c r="B49" s="2" t="s">
        <v>511</v>
      </c>
      <c r="C49" s="2" t="s">
        <v>285</v>
      </c>
      <c r="D49" s="2" t="s">
        <v>512</v>
      </c>
      <c r="E49" s="2" t="s">
        <v>48</v>
      </c>
      <c r="F49" s="2" t="s">
        <v>190</v>
      </c>
      <c r="G49" s="2" t="s">
        <v>60</v>
      </c>
      <c r="H49" s="2" t="s">
        <v>513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>
        <v>49.0</v>
      </c>
      <c r="B50" s="2" t="s">
        <v>514</v>
      </c>
      <c r="C50" s="2" t="s">
        <v>285</v>
      </c>
      <c r="D50" s="2" t="s">
        <v>515</v>
      </c>
      <c r="E50" s="2" t="s">
        <v>48</v>
      </c>
      <c r="F50" s="2" t="s">
        <v>190</v>
      </c>
      <c r="G50" s="2" t="s">
        <v>60</v>
      </c>
      <c r="H50" s="2" t="s">
        <v>516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>
        <v>50.0</v>
      </c>
      <c r="B51" s="2" t="s">
        <v>517</v>
      </c>
      <c r="C51" s="2" t="s">
        <v>285</v>
      </c>
      <c r="D51" s="2" t="s">
        <v>518</v>
      </c>
      <c r="E51" s="2" t="s">
        <v>114</v>
      </c>
      <c r="F51" s="2" t="s">
        <v>142</v>
      </c>
      <c r="G51" s="2" t="s">
        <v>60</v>
      </c>
      <c r="H51" s="2" t="s">
        <v>519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>
        <v>51.0</v>
      </c>
      <c r="B52" s="2" t="s">
        <v>520</v>
      </c>
      <c r="C52" s="2" t="s">
        <v>362</v>
      </c>
      <c r="D52" s="2" t="s">
        <v>521</v>
      </c>
      <c r="E52" s="2" t="s">
        <v>265</v>
      </c>
      <c r="F52" s="2" t="s">
        <v>51</v>
      </c>
      <c r="G52" s="2" t="s">
        <v>60</v>
      </c>
      <c r="H52" s="2" t="s">
        <v>522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52.0</v>
      </c>
      <c r="B53" s="2" t="s">
        <v>523</v>
      </c>
      <c r="C53" s="2" t="s">
        <v>403</v>
      </c>
      <c r="D53" s="2" t="s">
        <v>524</v>
      </c>
      <c r="E53" s="2" t="s">
        <v>525</v>
      </c>
      <c r="F53" s="2" t="s">
        <v>51</v>
      </c>
      <c r="G53" s="2" t="s">
        <v>60</v>
      </c>
      <c r="H53" s="2" t="s">
        <v>526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>
        <v>53.0</v>
      </c>
      <c r="B54" s="2" t="s">
        <v>527</v>
      </c>
      <c r="C54" s="2" t="s">
        <v>419</v>
      </c>
      <c r="D54" s="2" t="s">
        <v>528</v>
      </c>
      <c r="E54" s="2" t="s">
        <v>86</v>
      </c>
      <c r="F54" s="2" t="s">
        <v>142</v>
      </c>
      <c r="G54" s="2" t="s">
        <v>60</v>
      </c>
      <c r="H54" s="2" t="s">
        <v>529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>
        <v>54.0</v>
      </c>
      <c r="B55" s="2" t="s">
        <v>530</v>
      </c>
      <c r="C55" s="2" t="s">
        <v>384</v>
      </c>
      <c r="D55" s="2" t="s">
        <v>531</v>
      </c>
      <c r="E55" s="2" t="s">
        <v>532</v>
      </c>
      <c r="F55" s="2" t="s">
        <v>51</v>
      </c>
      <c r="G55" s="1" t="s">
        <v>312</v>
      </c>
      <c r="H55" s="2" t="s">
        <v>533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55.0</v>
      </c>
      <c r="B56" s="2" t="s">
        <v>534</v>
      </c>
      <c r="C56" s="2" t="s">
        <v>403</v>
      </c>
      <c r="D56" s="2" t="s">
        <v>535</v>
      </c>
      <c r="E56" s="2" t="s">
        <v>114</v>
      </c>
      <c r="F56" s="2" t="s">
        <v>142</v>
      </c>
      <c r="G56" s="2" t="s">
        <v>60</v>
      </c>
      <c r="H56" s="2" t="s">
        <v>536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56.0</v>
      </c>
      <c r="B57" s="2" t="s">
        <v>537</v>
      </c>
      <c r="C57" s="2" t="s">
        <v>362</v>
      </c>
      <c r="D57" s="2" t="s">
        <v>538</v>
      </c>
      <c r="E57" s="2" t="s">
        <v>114</v>
      </c>
      <c r="F57" s="2" t="s">
        <v>142</v>
      </c>
      <c r="G57" s="2" t="s">
        <v>60</v>
      </c>
      <c r="H57" s="2" t="s">
        <v>539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57.0</v>
      </c>
      <c r="B58" s="2" t="s">
        <v>540</v>
      </c>
      <c r="C58" s="2" t="s">
        <v>384</v>
      </c>
      <c r="D58" s="2" t="s">
        <v>541</v>
      </c>
      <c r="E58" s="2" t="s">
        <v>408</v>
      </c>
      <c r="F58" s="2" t="s">
        <v>190</v>
      </c>
      <c r="G58" s="2" t="s">
        <v>60</v>
      </c>
      <c r="H58" s="2" t="s">
        <v>542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58.0</v>
      </c>
      <c r="B59" s="2" t="s">
        <v>543</v>
      </c>
      <c r="C59" s="2" t="s">
        <v>124</v>
      </c>
      <c r="D59" s="2" t="s">
        <v>544</v>
      </c>
      <c r="E59" s="2" t="s">
        <v>114</v>
      </c>
      <c r="F59" s="2" t="s">
        <v>142</v>
      </c>
      <c r="G59" s="2" t="s">
        <v>60</v>
      </c>
      <c r="H59" s="2" t="s">
        <v>545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59.0</v>
      </c>
      <c r="B60" s="2" t="s">
        <v>546</v>
      </c>
      <c r="C60" s="2" t="s">
        <v>362</v>
      </c>
      <c r="D60" s="2" t="s">
        <v>547</v>
      </c>
      <c r="E60" s="2" t="s">
        <v>36</v>
      </c>
      <c r="F60" s="2" t="s">
        <v>142</v>
      </c>
      <c r="G60" s="2" t="s">
        <v>60</v>
      </c>
      <c r="H60" s="2" t="s">
        <v>548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60.0</v>
      </c>
      <c r="B61" s="2" t="s">
        <v>549</v>
      </c>
      <c r="C61" s="2" t="s">
        <v>384</v>
      </c>
      <c r="D61" s="2" t="s">
        <v>550</v>
      </c>
      <c r="E61" s="2" t="s">
        <v>48</v>
      </c>
      <c r="F61" s="2" t="s">
        <v>190</v>
      </c>
      <c r="G61" s="2" t="s">
        <v>60</v>
      </c>
      <c r="H61" s="2" t="s">
        <v>551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</row>
  </sheetData>
  <dataValidations>
    <dataValidation type="list" allowBlank="1" sqref="G2:G61">
      <formula1>"не начато,готов к написанию,написано,опубликовано,Запустить"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86"/>
    <col customWidth="1" min="3" max="4" width="8.71"/>
    <col customWidth="1" min="5" max="5" width="32.71"/>
    <col customWidth="1" min="6" max="6" width="31.0"/>
    <col customWidth="1" min="7" max="7" width="33.86"/>
  </cols>
  <sheetData>
    <row r="1">
      <c r="A1" s="2" t="s">
        <v>552</v>
      </c>
      <c r="B1" s="2" t="s">
        <v>553</v>
      </c>
      <c r="C1" s="2" t="s">
        <v>554</v>
      </c>
      <c r="D1" s="2" t="s">
        <v>555</v>
      </c>
      <c r="E1" s="2" t="s">
        <v>556</v>
      </c>
      <c r="F1" s="2" t="s">
        <v>557</v>
      </c>
      <c r="G1" s="2" t="s">
        <v>558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>
        <v>1.0</v>
      </c>
      <c r="B2" s="2" t="s">
        <v>40</v>
      </c>
      <c r="C2" s="2" t="s">
        <v>45</v>
      </c>
      <c r="D2" s="2">
        <v>2.0</v>
      </c>
      <c r="E2" s="2" t="s">
        <v>79</v>
      </c>
      <c r="F2" s="2" t="s">
        <v>559</v>
      </c>
      <c r="G2" s="2" t="s">
        <v>560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>
        <v>1.0</v>
      </c>
      <c r="B3" s="2" t="s">
        <v>40</v>
      </c>
      <c r="C3" s="2" t="s">
        <v>45</v>
      </c>
      <c r="D3" s="2">
        <v>15.0</v>
      </c>
      <c r="E3" s="2" t="s">
        <v>376</v>
      </c>
      <c r="F3" s="2" t="s">
        <v>561</v>
      </c>
      <c r="G3" s="2" t="s">
        <v>560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>
        <v>1.0</v>
      </c>
      <c r="B4" s="2" t="s">
        <v>40</v>
      </c>
      <c r="C4" s="2" t="s">
        <v>45</v>
      </c>
      <c r="D4" s="2">
        <v>20.0</v>
      </c>
      <c r="E4" s="2" t="s">
        <v>426</v>
      </c>
      <c r="F4" s="2" t="s">
        <v>562</v>
      </c>
      <c r="G4" s="2" t="s">
        <v>560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>
        <v>1.0</v>
      </c>
      <c r="B5" s="2" t="s">
        <v>40</v>
      </c>
      <c r="C5" s="2" t="s">
        <v>45</v>
      </c>
      <c r="D5" s="2">
        <v>25.0</v>
      </c>
      <c r="E5" s="2" t="s">
        <v>441</v>
      </c>
      <c r="F5" s="2" t="s">
        <v>563</v>
      </c>
      <c r="G5" s="2" t="s">
        <v>560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>
        <v>2.0</v>
      </c>
      <c r="B6" s="2" t="s">
        <v>74</v>
      </c>
      <c r="C6" s="2" t="s">
        <v>79</v>
      </c>
      <c r="D6" s="2">
        <v>1.0</v>
      </c>
      <c r="E6" s="2" t="s">
        <v>45</v>
      </c>
      <c r="F6" s="2" t="s">
        <v>564</v>
      </c>
      <c r="G6" s="2" t="s">
        <v>560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>
        <v>2.0</v>
      </c>
      <c r="B7" s="2" t="s">
        <v>74</v>
      </c>
      <c r="C7" s="2" t="s">
        <v>79</v>
      </c>
      <c r="D7" s="2">
        <v>6.0</v>
      </c>
      <c r="E7" s="2" t="s">
        <v>232</v>
      </c>
      <c r="F7" s="2" t="s">
        <v>565</v>
      </c>
      <c r="G7" s="2" t="s">
        <v>560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v>2.0</v>
      </c>
      <c r="B8" s="2" t="s">
        <v>74</v>
      </c>
      <c r="C8" s="2" t="s">
        <v>79</v>
      </c>
      <c r="D8" s="2">
        <v>47.0</v>
      </c>
      <c r="E8" s="2" t="s">
        <v>509</v>
      </c>
      <c r="F8" s="2" t="s">
        <v>566</v>
      </c>
      <c r="G8" s="2" t="s">
        <v>560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>
        <v>3.0</v>
      </c>
      <c r="B9" s="2" t="s">
        <v>103</v>
      </c>
      <c r="C9" s="2" t="s">
        <v>111</v>
      </c>
      <c r="D9" s="2">
        <v>1.0</v>
      </c>
      <c r="E9" s="2" t="s">
        <v>45</v>
      </c>
      <c r="F9" s="2" t="s">
        <v>567</v>
      </c>
      <c r="G9" s="2" t="s">
        <v>560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>
        <v>3.0</v>
      </c>
      <c r="B10" s="2" t="s">
        <v>103</v>
      </c>
      <c r="C10" s="2" t="s">
        <v>111</v>
      </c>
      <c r="D10" s="2">
        <v>15.0</v>
      </c>
      <c r="E10" s="2" t="s">
        <v>376</v>
      </c>
      <c r="F10" s="2" t="s">
        <v>568</v>
      </c>
      <c r="G10" s="2" t="s">
        <v>560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>
        <v>3.0</v>
      </c>
      <c r="B11" s="2" t="s">
        <v>103</v>
      </c>
      <c r="C11" s="2" t="s">
        <v>111</v>
      </c>
      <c r="D11" s="2">
        <v>50.0</v>
      </c>
      <c r="E11" s="2" t="s">
        <v>518</v>
      </c>
      <c r="F11" s="2" t="s">
        <v>569</v>
      </c>
      <c r="G11" s="2" t="s">
        <v>560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>
        <v>4.0</v>
      </c>
      <c r="B12" s="2" t="s">
        <v>137</v>
      </c>
      <c r="C12" s="2" t="s">
        <v>138</v>
      </c>
      <c r="D12" s="2">
        <v>1.0</v>
      </c>
      <c r="E12" s="2" t="s">
        <v>45</v>
      </c>
      <c r="F12" s="2" t="s">
        <v>570</v>
      </c>
      <c r="G12" s="2" t="s">
        <v>560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>
        <v>4.0</v>
      </c>
      <c r="B13" s="2" t="s">
        <v>137</v>
      </c>
      <c r="C13" s="2" t="s">
        <v>138</v>
      </c>
      <c r="D13" s="2">
        <v>25.0</v>
      </c>
      <c r="E13" s="2" t="s">
        <v>441</v>
      </c>
      <c r="F13" s="2" t="s">
        <v>571</v>
      </c>
      <c r="G13" s="2" t="s">
        <v>560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>
        <v>4.0</v>
      </c>
      <c r="B14" s="2" t="s">
        <v>137</v>
      </c>
      <c r="C14" s="2" t="s">
        <v>138</v>
      </c>
      <c r="D14" s="2">
        <v>42.0</v>
      </c>
      <c r="E14" s="2" t="s">
        <v>494</v>
      </c>
      <c r="F14" s="2" t="s">
        <v>572</v>
      </c>
      <c r="G14" s="2" t="s">
        <v>560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>
        <v>5.0</v>
      </c>
      <c r="B15" s="2" t="s">
        <v>175</v>
      </c>
      <c r="C15" s="2" t="s">
        <v>184</v>
      </c>
      <c r="D15" s="2">
        <v>8.0</v>
      </c>
      <c r="E15" s="2" t="s">
        <v>272</v>
      </c>
      <c r="F15" s="2" t="s">
        <v>573</v>
      </c>
      <c r="G15" s="2" t="s">
        <v>560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>
        <v>5.0</v>
      </c>
      <c r="B16" s="2" t="s">
        <v>175</v>
      </c>
      <c r="C16" s="2" t="s">
        <v>184</v>
      </c>
      <c r="D16" s="2">
        <v>43.0</v>
      </c>
      <c r="E16" s="2" t="s">
        <v>497</v>
      </c>
      <c r="F16" s="2" t="s">
        <v>574</v>
      </c>
      <c r="G16" s="2" t="s">
        <v>560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>
        <v>6.0</v>
      </c>
      <c r="B17" s="2" t="s">
        <v>229</v>
      </c>
      <c r="C17" s="2" t="s">
        <v>232</v>
      </c>
      <c r="D17" s="2">
        <v>7.0</v>
      </c>
      <c r="E17" s="2" t="s">
        <v>257</v>
      </c>
      <c r="F17" s="2" t="s">
        <v>575</v>
      </c>
      <c r="G17" s="2" t="s">
        <v>560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>
        <v>6.0</v>
      </c>
      <c r="B18" s="2" t="s">
        <v>229</v>
      </c>
      <c r="C18" s="2" t="s">
        <v>232</v>
      </c>
      <c r="D18" s="2">
        <v>8.0</v>
      </c>
      <c r="E18" s="2" t="s">
        <v>272</v>
      </c>
      <c r="F18" s="2" t="s">
        <v>576</v>
      </c>
      <c r="G18" s="2" t="s">
        <v>560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>
        <v>6.0</v>
      </c>
      <c r="B19" s="2" t="s">
        <v>229</v>
      </c>
      <c r="C19" s="2" t="s">
        <v>232</v>
      </c>
      <c r="D19" s="2">
        <v>11.0</v>
      </c>
      <c r="E19" s="2" t="s">
        <v>309</v>
      </c>
      <c r="F19" s="2" t="s">
        <v>577</v>
      </c>
      <c r="G19" s="2" t="s">
        <v>560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>
        <v>6.0</v>
      </c>
      <c r="B20" s="2" t="s">
        <v>229</v>
      </c>
      <c r="C20" s="2" t="s">
        <v>232</v>
      </c>
      <c r="D20" s="2">
        <v>54.0</v>
      </c>
      <c r="E20" s="2" t="s">
        <v>531</v>
      </c>
      <c r="F20" s="2" t="s">
        <v>578</v>
      </c>
      <c r="G20" s="2" t="s">
        <v>560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>
        <v>7.0</v>
      </c>
      <c r="B21" s="2" t="s">
        <v>253</v>
      </c>
      <c r="C21" s="2" t="s">
        <v>257</v>
      </c>
      <c r="D21" s="2">
        <v>6.0</v>
      </c>
      <c r="E21" s="2" t="s">
        <v>232</v>
      </c>
      <c r="F21" s="2" t="s">
        <v>565</v>
      </c>
      <c r="G21" s="2" t="s">
        <v>560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>
        <v>7.0</v>
      </c>
      <c r="B22" s="2" t="s">
        <v>253</v>
      </c>
      <c r="C22" s="2" t="s">
        <v>257</v>
      </c>
      <c r="D22" s="2">
        <v>12.0</v>
      </c>
      <c r="E22" s="2" t="s">
        <v>344</v>
      </c>
      <c r="F22" s="2" t="s">
        <v>579</v>
      </c>
      <c r="G22" s="2" t="s">
        <v>560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>
        <v>7.0</v>
      </c>
      <c r="B23" s="2" t="s">
        <v>253</v>
      </c>
      <c r="C23" s="2" t="s">
        <v>257</v>
      </c>
      <c r="D23" s="2">
        <v>33.0</v>
      </c>
      <c r="E23" s="2" t="s">
        <v>467</v>
      </c>
      <c r="F23" s="2" t="s">
        <v>580</v>
      </c>
      <c r="G23" s="2" t="s">
        <v>560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>
        <v>8.0</v>
      </c>
      <c r="B24" s="2" t="s">
        <v>270</v>
      </c>
      <c r="C24" s="2" t="s">
        <v>272</v>
      </c>
      <c r="D24" s="2">
        <v>6.0</v>
      </c>
      <c r="E24" s="2" t="s">
        <v>232</v>
      </c>
      <c r="F24" s="2" t="s">
        <v>581</v>
      </c>
      <c r="G24" s="2" t="s">
        <v>560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>
        <v>8.0</v>
      </c>
      <c r="B25" s="2" t="s">
        <v>270</v>
      </c>
      <c r="C25" s="2" t="s">
        <v>272</v>
      </c>
      <c r="D25" s="2">
        <v>29.0</v>
      </c>
      <c r="E25" s="2" t="s">
        <v>455</v>
      </c>
      <c r="F25" s="2" t="s">
        <v>582</v>
      </c>
      <c r="G25" s="2" t="s">
        <v>560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>
        <v>9.0</v>
      </c>
      <c r="B26" s="2" t="s">
        <v>282</v>
      </c>
      <c r="C26" s="2" t="s">
        <v>283</v>
      </c>
      <c r="D26" s="2">
        <v>6.0</v>
      </c>
      <c r="E26" s="2" t="s">
        <v>232</v>
      </c>
      <c r="F26" s="2" t="s">
        <v>583</v>
      </c>
      <c r="G26" s="2" t="s">
        <v>560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>
        <v>9.0</v>
      </c>
      <c r="B27" s="2" t="s">
        <v>282</v>
      </c>
      <c r="C27" s="2" t="s">
        <v>283</v>
      </c>
      <c r="D27" s="2">
        <v>46.0</v>
      </c>
      <c r="E27" s="2" t="s">
        <v>506</v>
      </c>
      <c r="F27" s="2" t="s">
        <v>584</v>
      </c>
      <c r="G27" s="2" t="s">
        <v>560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>
        <v>10.0</v>
      </c>
      <c r="B28" s="2" t="s">
        <v>299</v>
      </c>
      <c r="C28" s="2" t="s">
        <v>301</v>
      </c>
      <c r="D28" s="2">
        <v>6.0</v>
      </c>
      <c r="E28" s="2" t="s">
        <v>232</v>
      </c>
      <c r="F28" s="2" t="s">
        <v>585</v>
      </c>
      <c r="G28" s="2" t="s">
        <v>560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>
        <v>10.0</v>
      </c>
      <c r="B29" s="2" t="s">
        <v>299</v>
      </c>
      <c r="C29" s="2" t="s">
        <v>301</v>
      </c>
      <c r="D29" s="2">
        <v>30.0</v>
      </c>
      <c r="E29" s="2" t="s">
        <v>458</v>
      </c>
      <c r="F29" s="2" t="s">
        <v>586</v>
      </c>
      <c r="G29" s="2" t="s">
        <v>560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>
        <v>10.0</v>
      </c>
      <c r="B30" s="2" t="s">
        <v>299</v>
      </c>
      <c r="C30" s="2" t="s">
        <v>301</v>
      </c>
      <c r="D30" s="2">
        <v>41.0</v>
      </c>
      <c r="E30" s="2" t="s">
        <v>491</v>
      </c>
      <c r="F30" s="2" t="s">
        <v>587</v>
      </c>
      <c r="G30" s="2" t="s">
        <v>560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>
        <v>11.0</v>
      </c>
      <c r="B31" s="2" t="s">
        <v>308</v>
      </c>
      <c r="C31" s="2" t="s">
        <v>309</v>
      </c>
      <c r="D31" s="2">
        <v>6.0</v>
      </c>
      <c r="E31" s="2" t="s">
        <v>232</v>
      </c>
      <c r="F31" s="2" t="s">
        <v>588</v>
      </c>
      <c r="G31" s="2" t="s">
        <v>560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>
        <v>11.0</v>
      </c>
      <c r="B32" s="2" t="s">
        <v>308</v>
      </c>
      <c r="C32" s="2" t="s">
        <v>309</v>
      </c>
      <c r="D32" s="2">
        <v>12.0</v>
      </c>
      <c r="E32" s="2" t="s">
        <v>344</v>
      </c>
      <c r="F32" s="2" t="s">
        <v>589</v>
      </c>
      <c r="G32" s="2" t="s">
        <v>560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>
        <v>11.0</v>
      </c>
      <c r="B33" s="2" t="s">
        <v>308</v>
      </c>
      <c r="C33" s="2" t="s">
        <v>309</v>
      </c>
      <c r="D33" s="2">
        <v>13.0</v>
      </c>
      <c r="E33" s="2" t="s">
        <v>350</v>
      </c>
      <c r="F33" s="2" t="s">
        <v>590</v>
      </c>
      <c r="G33" s="2" t="s">
        <v>560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>
        <v>11.0</v>
      </c>
      <c r="B34" s="2" t="s">
        <v>308</v>
      </c>
      <c r="C34" s="2" t="s">
        <v>309</v>
      </c>
      <c r="D34" s="2">
        <v>54.0</v>
      </c>
      <c r="E34" s="2" t="s">
        <v>531</v>
      </c>
      <c r="F34" s="2" t="s">
        <v>578</v>
      </c>
      <c r="G34" s="2" t="s">
        <v>560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>
        <v>12.0</v>
      </c>
      <c r="B35" s="2" t="s">
        <v>343</v>
      </c>
      <c r="C35" s="2" t="s">
        <v>344</v>
      </c>
      <c r="D35" s="2">
        <v>11.0</v>
      </c>
      <c r="E35" s="2" t="s">
        <v>309</v>
      </c>
      <c r="F35" s="2" t="s">
        <v>591</v>
      </c>
      <c r="G35" s="2" t="s">
        <v>560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>
        <v>12.0</v>
      </c>
      <c r="B36" s="2" t="s">
        <v>343</v>
      </c>
      <c r="C36" s="2" t="s">
        <v>344</v>
      </c>
      <c r="D36" s="2">
        <v>7.0</v>
      </c>
      <c r="E36" s="2" t="s">
        <v>257</v>
      </c>
      <c r="F36" s="2" t="s">
        <v>592</v>
      </c>
      <c r="G36" s="2" t="s">
        <v>560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>
        <v>13.0</v>
      </c>
      <c r="B37" s="2" t="s">
        <v>349</v>
      </c>
      <c r="C37" s="2" t="s">
        <v>350</v>
      </c>
      <c r="D37" s="2">
        <v>11.0</v>
      </c>
      <c r="E37" s="2" t="s">
        <v>309</v>
      </c>
      <c r="F37" s="2" t="s">
        <v>593</v>
      </c>
      <c r="G37" s="2" t="s">
        <v>560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>
        <v>13.0</v>
      </c>
      <c r="B38" s="2" t="s">
        <v>349</v>
      </c>
      <c r="C38" s="2" t="s">
        <v>350</v>
      </c>
      <c r="D38" s="2">
        <v>41.0</v>
      </c>
      <c r="E38" s="2" t="s">
        <v>491</v>
      </c>
      <c r="F38" s="2" t="s">
        <v>594</v>
      </c>
      <c r="G38" s="2" t="s">
        <v>560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>
        <v>14.0</v>
      </c>
      <c r="B39" s="2" t="s">
        <v>364</v>
      </c>
      <c r="C39" s="2" t="s">
        <v>365</v>
      </c>
      <c r="D39" s="2">
        <v>11.0</v>
      </c>
      <c r="E39" s="2" t="s">
        <v>309</v>
      </c>
      <c r="F39" s="2" t="s">
        <v>603</v>
      </c>
      <c r="G39" s="2" t="s">
        <v>560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>
        <v>14.0</v>
      </c>
      <c r="B40" s="2" t="s">
        <v>364</v>
      </c>
      <c r="C40" s="2" t="s">
        <v>365</v>
      </c>
      <c r="D40" s="2">
        <v>41.0</v>
      </c>
      <c r="E40" s="2" t="s">
        <v>491</v>
      </c>
      <c r="F40" s="2" t="s">
        <v>604</v>
      </c>
      <c r="G40" s="2" t="s">
        <v>560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>
        <v>15.0</v>
      </c>
      <c r="B41" s="2" t="s">
        <v>374</v>
      </c>
      <c r="C41" s="2" t="s">
        <v>376</v>
      </c>
      <c r="D41" s="2">
        <v>16.0</v>
      </c>
      <c r="E41" s="2" t="s">
        <v>386</v>
      </c>
      <c r="F41" s="2" t="s">
        <v>606</v>
      </c>
      <c r="G41" s="2" t="s">
        <v>560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>
        <v>15.0</v>
      </c>
      <c r="B42" s="2" t="s">
        <v>374</v>
      </c>
      <c r="C42" s="2" t="s">
        <v>376</v>
      </c>
      <c r="D42" s="2">
        <v>17.0</v>
      </c>
      <c r="E42" s="2" t="s">
        <v>398</v>
      </c>
      <c r="F42" s="2" t="s">
        <v>609</v>
      </c>
      <c r="G42" s="2" t="s">
        <v>560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>
        <v>15.0</v>
      </c>
      <c r="B43" s="2" t="s">
        <v>374</v>
      </c>
      <c r="C43" s="2" t="s">
        <v>376</v>
      </c>
      <c r="D43" s="2">
        <v>18.0</v>
      </c>
      <c r="E43" s="2" t="s">
        <v>407</v>
      </c>
      <c r="F43" s="2" t="s">
        <v>610</v>
      </c>
      <c r="G43" s="2" t="s">
        <v>560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>
        <v>15.0</v>
      </c>
      <c r="B44" s="2" t="s">
        <v>374</v>
      </c>
      <c r="C44" s="2" t="s">
        <v>376</v>
      </c>
      <c r="D44" s="2">
        <v>52.0</v>
      </c>
      <c r="E44" s="2" t="s">
        <v>524</v>
      </c>
      <c r="F44" s="2" t="s">
        <v>614</v>
      </c>
      <c r="G44" s="2" t="s">
        <v>560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>
        <v>16.0</v>
      </c>
      <c r="B45" s="2" t="s">
        <v>385</v>
      </c>
      <c r="C45" s="2" t="s">
        <v>386</v>
      </c>
      <c r="D45" s="2">
        <v>15.0</v>
      </c>
      <c r="E45" s="2" t="s">
        <v>376</v>
      </c>
      <c r="F45" s="2" t="s">
        <v>616</v>
      </c>
      <c r="G45" s="2" t="s">
        <v>560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>
        <v>16.0</v>
      </c>
      <c r="B46" s="2" t="s">
        <v>385</v>
      </c>
      <c r="C46" s="2" t="s">
        <v>386</v>
      </c>
      <c r="D46" s="2">
        <v>1.0</v>
      </c>
      <c r="E46" s="2" t="s">
        <v>45</v>
      </c>
      <c r="F46" s="2" t="s">
        <v>617</v>
      </c>
      <c r="G46" s="2" t="s">
        <v>560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">
        <v>17.0</v>
      </c>
      <c r="B47" s="2" t="s">
        <v>397</v>
      </c>
      <c r="C47" s="2" t="s">
        <v>398</v>
      </c>
      <c r="D47" s="2">
        <v>15.0</v>
      </c>
      <c r="E47" s="2" t="s">
        <v>376</v>
      </c>
      <c r="F47" s="2" t="s">
        <v>618</v>
      </c>
      <c r="G47" s="2" t="s">
        <v>560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2">
        <v>17.0</v>
      </c>
      <c r="B48" s="2" t="s">
        <v>397</v>
      </c>
      <c r="C48" s="2" t="s">
        <v>398</v>
      </c>
      <c r="D48" s="2">
        <v>43.0</v>
      </c>
      <c r="E48" s="2" t="s">
        <v>497</v>
      </c>
      <c r="F48" s="2" t="s">
        <v>620</v>
      </c>
      <c r="G48" s="2" t="s">
        <v>560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>
        <v>18.0</v>
      </c>
      <c r="B49" s="2" t="s">
        <v>405</v>
      </c>
      <c r="C49" s="2" t="s">
        <v>407</v>
      </c>
      <c r="D49" s="2">
        <v>15.0</v>
      </c>
      <c r="E49" s="2" t="s">
        <v>376</v>
      </c>
      <c r="F49" s="2" t="s">
        <v>621</v>
      </c>
      <c r="G49" s="2" t="s">
        <v>560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>
        <v>18.0</v>
      </c>
      <c r="B50" s="2" t="s">
        <v>405</v>
      </c>
      <c r="C50" s="2" t="s">
        <v>407</v>
      </c>
      <c r="D50" s="2">
        <v>20.0</v>
      </c>
      <c r="E50" s="2" t="s">
        <v>426</v>
      </c>
      <c r="F50" s="2" t="s">
        <v>622</v>
      </c>
      <c r="G50" s="2" t="s">
        <v>560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>
        <v>19.0</v>
      </c>
      <c r="B51" s="2" t="s">
        <v>417</v>
      </c>
      <c r="C51" s="2" t="s">
        <v>418</v>
      </c>
      <c r="D51" s="2">
        <v>15.0</v>
      </c>
      <c r="E51" s="2" t="s">
        <v>376</v>
      </c>
      <c r="F51" s="2" t="s">
        <v>623</v>
      </c>
      <c r="G51" s="2" t="s">
        <v>560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>
        <v>19.0</v>
      </c>
      <c r="B52" s="2" t="s">
        <v>417</v>
      </c>
      <c r="C52" s="2" t="s">
        <v>418</v>
      </c>
      <c r="D52" s="2">
        <v>30.0</v>
      </c>
      <c r="E52" s="2" t="s">
        <v>458</v>
      </c>
      <c r="F52" s="2" t="s">
        <v>624</v>
      </c>
      <c r="G52" s="2" t="s">
        <v>560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>
        <v>20.0</v>
      </c>
      <c r="B53" s="2" t="s">
        <v>425</v>
      </c>
      <c r="C53" s="2" t="s">
        <v>426</v>
      </c>
      <c r="D53" s="2">
        <v>21.0</v>
      </c>
      <c r="E53" s="2" t="s">
        <v>429</v>
      </c>
      <c r="F53" s="2" t="s">
        <v>625</v>
      </c>
      <c r="G53" s="2" t="s">
        <v>560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>
        <v>20.0</v>
      </c>
      <c r="B54" s="2" t="s">
        <v>425</v>
      </c>
      <c r="C54" s="2" t="s">
        <v>426</v>
      </c>
      <c r="D54" s="2">
        <v>22.0</v>
      </c>
      <c r="E54" s="2" t="s">
        <v>432</v>
      </c>
      <c r="F54" s="2" t="s">
        <v>626</v>
      </c>
      <c r="G54" s="2" t="s">
        <v>560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>
        <v>20.0</v>
      </c>
      <c r="B55" s="2" t="s">
        <v>425</v>
      </c>
      <c r="C55" s="2" t="s">
        <v>426</v>
      </c>
      <c r="D55" s="2">
        <v>23.0</v>
      </c>
      <c r="E55" s="2" t="s">
        <v>435</v>
      </c>
      <c r="F55" s="2" t="s">
        <v>627</v>
      </c>
      <c r="G55" s="2" t="s">
        <v>560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>
        <v>20.0</v>
      </c>
      <c r="B56" s="2" t="s">
        <v>425</v>
      </c>
      <c r="C56" s="2" t="s">
        <v>426</v>
      </c>
      <c r="D56" s="2">
        <v>52.0</v>
      </c>
      <c r="E56" s="2" t="s">
        <v>524</v>
      </c>
      <c r="F56" s="2" t="s">
        <v>628</v>
      </c>
      <c r="G56" s="2" t="s">
        <v>560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>
        <v>21.0</v>
      </c>
      <c r="B57" s="2" t="s">
        <v>428</v>
      </c>
      <c r="C57" s="2" t="s">
        <v>429</v>
      </c>
      <c r="D57" s="2">
        <v>20.0</v>
      </c>
      <c r="E57" s="2" t="s">
        <v>426</v>
      </c>
      <c r="F57" s="2" t="s">
        <v>629</v>
      </c>
      <c r="G57" s="2" t="s">
        <v>560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>
        <v>21.0</v>
      </c>
      <c r="B58" s="2" t="s">
        <v>428</v>
      </c>
      <c r="C58" s="2" t="s">
        <v>429</v>
      </c>
      <c r="D58" s="2">
        <v>1.0</v>
      </c>
      <c r="E58" s="2" t="s">
        <v>45</v>
      </c>
      <c r="F58" s="2" t="s">
        <v>630</v>
      </c>
      <c r="G58" s="2" t="s">
        <v>560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>
        <v>22.0</v>
      </c>
      <c r="B59" s="2" t="s">
        <v>431</v>
      </c>
      <c r="C59" s="2" t="s">
        <v>432</v>
      </c>
      <c r="D59" s="2">
        <v>20.0</v>
      </c>
      <c r="E59" s="2" t="s">
        <v>426</v>
      </c>
      <c r="F59" s="2" t="s">
        <v>631</v>
      </c>
      <c r="G59" s="2" t="s">
        <v>560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>
        <v>22.0</v>
      </c>
      <c r="B60" s="2" t="s">
        <v>431</v>
      </c>
      <c r="C60" s="2" t="s">
        <v>432</v>
      </c>
      <c r="D60" s="2">
        <v>29.0</v>
      </c>
      <c r="E60" s="2" t="s">
        <v>455</v>
      </c>
      <c r="F60" s="2" t="s">
        <v>632</v>
      </c>
      <c r="G60" s="2" t="s">
        <v>560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>
        <v>23.0</v>
      </c>
      <c r="B61" s="2" t="s">
        <v>434</v>
      </c>
      <c r="C61" s="2" t="s">
        <v>435</v>
      </c>
      <c r="D61" s="2">
        <v>20.0</v>
      </c>
      <c r="E61" s="2" t="s">
        <v>426</v>
      </c>
      <c r="F61" s="2" t="s">
        <v>633</v>
      </c>
      <c r="G61" s="2" t="s">
        <v>560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2">
        <v>23.0</v>
      </c>
      <c r="B62" s="2" t="s">
        <v>434</v>
      </c>
      <c r="C62" s="2" t="s">
        <v>435</v>
      </c>
      <c r="D62" s="2">
        <v>30.0</v>
      </c>
      <c r="E62" s="2" t="s">
        <v>458</v>
      </c>
      <c r="F62" s="2" t="s">
        <v>634</v>
      </c>
      <c r="G62" s="2" t="s">
        <v>560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">
        <v>24.0</v>
      </c>
      <c r="B63" s="2" t="s">
        <v>437</v>
      </c>
      <c r="C63" s="2" t="s">
        <v>438</v>
      </c>
      <c r="D63" s="2">
        <v>20.0</v>
      </c>
      <c r="E63" s="2" t="s">
        <v>426</v>
      </c>
      <c r="F63" s="2" t="s">
        <v>635</v>
      </c>
      <c r="G63" s="2" t="s">
        <v>560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2">
        <v>24.0</v>
      </c>
      <c r="B64" s="2" t="s">
        <v>437</v>
      </c>
      <c r="C64" s="2" t="s">
        <v>438</v>
      </c>
      <c r="D64" s="2">
        <v>21.0</v>
      </c>
      <c r="E64" s="2" t="s">
        <v>429</v>
      </c>
      <c r="F64" s="2" t="s">
        <v>636</v>
      </c>
      <c r="G64" s="2" t="s">
        <v>560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2">
        <v>25.0</v>
      </c>
      <c r="B65" s="2" t="s">
        <v>440</v>
      </c>
      <c r="C65" s="2" t="s">
        <v>441</v>
      </c>
      <c r="D65" s="2">
        <v>26.0</v>
      </c>
      <c r="E65" s="2" t="s">
        <v>445</v>
      </c>
      <c r="F65" s="2" t="s">
        <v>637</v>
      </c>
      <c r="G65" s="2" t="s">
        <v>560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">
        <v>25.0</v>
      </c>
      <c r="B66" s="2" t="s">
        <v>440</v>
      </c>
      <c r="C66" s="2" t="s">
        <v>441</v>
      </c>
      <c r="D66" s="2">
        <v>27.0</v>
      </c>
      <c r="E66" s="2" t="s">
        <v>448</v>
      </c>
      <c r="F66" s="2" t="s">
        <v>638</v>
      </c>
      <c r="G66" s="2" t="s">
        <v>560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2">
        <v>25.0</v>
      </c>
      <c r="B67" s="2" t="s">
        <v>440</v>
      </c>
      <c r="C67" s="2" t="s">
        <v>441</v>
      </c>
      <c r="D67" s="2">
        <v>28.0</v>
      </c>
      <c r="E67" s="2" t="s">
        <v>452</v>
      </c>
      <c r="F67" s="2" t="s">
        <v>639</v>
      </c>
      <c r="G67" s="2" t="s">
        <v>560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2">
        <v>25.0</v>
      </c>
      <c r="B68" s="2" t="s">
        <v>440</v>
      </c>
      <c r="C68" s="2" t="s">
        <v>441</v>
      </c>
      <c r="D68" s="2">
        <v>29.0</v>
      </c>
      <c r="E68" s="2" t="s">
        <v>455</v>
      </c>
      <c r="F68" s="2" t="s">
        <v>640</v>
      </c>
      <c r="G68" s="2" t="s">
        <v>560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2">
        <v>26.0</v>
      </c>
      <c r="B69" s="2" t="s">
        <v>444</v>
      </c>
      <c r="C69" s="2" t="s">
        <v>445</v>
      </c>
      <c r="D69" s="2">
        <v>25.0</v>
      </c>
      <c r="E69" s="2" t="s">
        <v>441</v>
      </c>
      <c r="F69" s="2" t="s">
        <v>641</v>
      </c>
      <c r="G69" s="2" t="s">
        <v>560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">
        <v>26.0</v>
      </c>
      <c r="B70" s="2" t="s">
        <v>444</v>
      </c>
      <c r="C70" s="2" t="s">
        <v>445</v>
      </c>
      <c r="D70" s="2">
        <v>1.0</v>
      </c>
      <c r="E70" s="2" t="s">
        <v>45</v>
      </c>
      <c r="F70" s="2" t="s">
        <v>642</v>
      </c>
      <c r="G70" s="2" t="s">
        <v>560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>
        <v>27.0</v>
      </c>
      <c r="B71" s="2" t="s">
        <v>447</v>
      </c>
      <c r="C71" s="2" t="s">
        <v>448</v>
      </c>
      <c r="D71" s="2">
        <v>25.0</v>
      </c>
      <c r="E71" s="2" t="s">
        <v>441</v>
      </c>
      <c r="F71" s="2" t="s">
        <v>643</v>
      </c>
      <c r="G71" s="2" t="s">
        <v>560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2">
        <v>27.0</v>
      </c>
      <c r="B72" s="2" t="s">
        <v>447</v>
      </c>
      <c r="C72" s="2" t="s">
        <v>448</v>
      </c>
      <c r="D72" s="2">
        <v>42.0</v>
      </c>
      <c r="E72" s="2" t="s">
        <v>494</v>
      </c>
      <c r="F72" s="2" t="s">
        <v>644</v>
      </c>
      <c r="G72" s="2" t="s">
        <v>560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2">
        <v>28.0</v>
      </c>
      <c r="B73" s="2" t="s">
        <v>451</v>
      </c>
      <c r="C73" s="2" t="s">
        <v>452</v>
      </c>
      <c r="D73" s="2">
        <v>25.0</v>
      </c>
      <c r="E73" s="2" t="s">
        <v>441</v>
      </c>
      <c r="F73" s="2" t="s">
        <v>645</v>
      </c>
      <c r="G73" s="2" t="s">
        <v>560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2">
        <v>28.0</v>
      </c>
      <c r="B74" s="2" t="s">
        <v>451</v>
      </c>
      <c r="C74" s="2" t="s">
        <v>452</v>
      </c>
      <c r="D74" s="2">
        <v>39.0</v>
      </c>
      <c r="E74" s="2" t="s">
        <v>485</v>
      </c>
      <c r="F74" s="2" t="s">
        <v>646</v>
      </c>
      <c r="G74" s="2" t="s">
        <v>560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2">
        <v>29.0</v>
      </c>
      <c r="B75" s="2" t="s">
        <v>454</v>
      </c>
      <c r="C75" s="2" t="s">
        <v>455</v>
      </c>
      <c r="D75" s="2">
        <v>25.0</v>
      </c>
      <c r="E75" s="2" t="s">
        <v>441</v>
      </c>
      <c r="F75" s="2" t="s">
        <v>647</v>
      </c>
      <c r="G75" s="2" t="s">
        <v>560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">
        <v>29.0</v>
      </c>
      <c r="B76" s="2" t="s">
        <v>454</v>
      </c>
      <c r="C76" s="2" t="s">
        <v>455</v>
      </c>
      <c r="D76" s="2">
        <v>8.0</v>
      </c>
      <c r="E76" s="2" t="s">
        <v>272</v>
      </c>
      <c r="F76" s="2" t="s">
        <v>648</v>
      </c>
      <c r="G76" s="2" t="s">
        <v>560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2">
        <v>30.0</v>
      </c>
      <c r="B77" s="2" t="s">
        <v>457</v>
      </c>
      <c r="C77" s="2" t="s">
        <v>458</v>
      </c>
      <c r="D77" s="2">
        <v>31.0</v>
      </c>
      <c r="E77" s="2" t="s">
        <v>461</v>
      </c>
      <c r="F77" s="2" t="s">
        <v>649</v>
      </c>
      <c r="G77" s="2" t="s">
        <v>560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2">
        <v>30.0</v>
      </c>
      <c r="B78" s="2" t="s">
        <v>457</v>
      </c>
      <c r="C78" s="2" t="s">
        <v>458</v>
      </c>
      <c r="D78" s="2">
        <v>32.0</v>
      </c>
      <c r="E78" s="2" t="s">
        <v>464</v>
      </c>
      <c r="F78" s="2" t="s">
        <v>650</v>
      </c>
      <c r="G78" s="2" t="s">
        <v>560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2">
        <v>30.0</v>
      </c>
      <c r="B79" s="2" t="s">
        <v>457</v>
      </c>
      <c r="C79" s="2" t="s">
        <v>458</v>
      </c>
      <c r="D79" s="2">
        <v>33.0</v>
      </c>
      <c r="E79" s="2" t="s">
        <v>467</v>
      </c>
      <c r="F79" s="2" t="s">
        <v>580</v>
      </c>
      <c r="G79" s="2" t="s">
        <v>560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">
        <v>30.0</v>
      </c>
      <c r="B80" s="2" t="s">
        <v>457</v>
      </c>
      <c r="C80" s="2" t="s">
        <v>458</v>
      </c>
      <c r="D80" s="2">
        <v>58.0</v>
      </c>
      <c r="E80" s="2" t="s">
        <v>544</v>
      </c>
      <c r="F80" s="2" t="s">
        <v>651</v>
      </c>
      <c r="G80" s="2" t="s">
        <v>560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">
        <v>31.0</v>
      </c>
      <c r="B81" s="2" t="s">
        <v>460</v>
      </c>
      <c r="C81" s="2" t="s">
        <v>461</v>
      </c>
      <c r="D81" s="2">
        <v>1.0</v>
      </c>
      <c r="E81" s="2" t="s">
        <v>45</v>
      </c>
      <c r="F81" s="2" t="s">
        <v>652</v>
      </c>
      <c r="G81" s="2" t="s">
        <v>560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">
        <v>31.0</v>
      </c>
      <c r="B82" s="2" t="s">
        <v>460</v>
      </c>
      <c r="C82" s="2" t="s">
        <v>461</v>
      </c>
      <c r="D82" s="2">
        <v>30.0</v>
      </c>
      <c r="E82" s="2" t="s">
        <v>458</v>
      </c>
      <c r="F82" s="2" t="s">
        <v>586</v>
      </c>
      <c r="G82" s="2" t="s">
        <v>560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">
        <v>32.0</v>
      </c>
      <c r="B83" s="2" t="s">
        <v>463</v>
      </c>
      <c r="C83" s="2" t="s">
        <v>464</v>
      </c>
      <c r="D83" s="2">
        <v>30.0</v>
      </c>
      <c r="E83" s="2" t="s">
        <v>458</v>
      </c>
      <c r="F83" s="2" t="s">
        <v>653</v>
      </c>
      <c r="G83" s="2" t="s">
        <v>560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">
        <v>32.0</v>
      </c>
      <c r="B84" s="2" t="s">
        <v>463</v>
      </c>
      <c r="C84" s="2" t="s">
        <v>464</v>
      </c>
      <c r="D84" s="2">
        <v>39.0</v>
      </c>
      <c r="E84" s="2" t="s">
        <v>485</v>
      </c>
      <c r="F84" s="2" t="s">
        <v>654</v>
      </c>
      <c r="G84" s="2" t="s">
        <v>560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">
        <v>33.0</v>
      </c>
      <c r="B85" s="2" t="s">
        <v>466</v>
      </c>
      <c r="C85" s="2" t="s">
        <v>467</v>
      </c>
      <c r="D85" s="2">
        <v>30.0</v>
      </c>
      <c r="E85" s="2" t="s">
        <v>458</v>
      </c>
      <c r="F85" s="2" t="s">
        <v>655</v>
      </c>
      <c r="G85" s="2" t="s">
        <v>560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2">
        <v>33.0</v>
      </c>
      <c r="B86" s="2" t="s">
        <v>466</v>
      </c>
      <c r="C86" s="2" t="s">
        <v>467</v>
      </c>
      <c r="D86" s="2">
        <v>7.0</v>
      </c>
      <c r="E86" s="2" t="s">
        <v>257</v>
      </c>
      <c r="F86" s="2" t="s">
        <v>656</v>
      </c>
      <c r="G86" s="2" t="s">
        <v>560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2">
        <v>34.0</v>
      </c>
      <c r="B87" s="2" t="s">
        <v>469</v>
      </c>
      <c r="C87" s="2" t="s">
        <v>470</v>
      </c>
      <c r="D87" s="2">
        <v>35.0</v>
      </c>
      <c r="E87" s="2" t="s">
        <v>473</v>
      </c>
      <c r="F87" s="2" t="s">
        <v>657</v>
      </c>
      <c r="G87" s="2" t="s">
        <v>560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2">
        <v>34.0</v>
      </c>
      <c r="B88" s="2" t="s">
        <v>469</v>
      </c>
      <c r="C88" s="2" t="s">
        <v>470</v>
      </c>
      <c r="D88" s="2">
        <v>36.0</v>
      </c>
      <c r="E88" s="2" t="s">
        <v>476</v>
      </c>
      <c r="F88" s="2" t="s">
        <v>658</v>
      </c>
      <c r="G88" s="2" t="s">
        <v>560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2">
        <v>34.0</v>
      </c>
      <c r="B89" s="2" t="s">
        <v>469</v>
      </c>
      <c r="C89" s="2" t="s">
        <v>470</v>
      </c>
      <c r="D89" s="2">
        <v>37.0</v>
      </c>
      <c r="E89" s="2" t="s">
        <v>479</v>
      </c>
      <c r="F89" s="2" t="s">
        <v>659</v>
      </c>
      <c r="G89" s="2" t="s">
        <v>560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2">
        <v>34.0</v>
      </c>
      <c r="B90" s="2" t="s">
        <v>469</v>
      </c>
      <c r="C90" s="2" t="s">
        <v>470</v>
      </c>
      <c r="D90" s="2">
        <v>51.0</v>
      </c>
      <c r="E90" s="2" t="s">
        <v>521</v>
      </c>
      <c r="F90" s="2" t="s">
        <v>660</v>
      </c>
      <c r="G90" s="2" t="s">
        <v>560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2">
        <v>35.0</v>
      </c>
      <c r="B91" s="2" t="s">
        <v>472</v>
      </c>
      <c r="C91" s="2" t="s">
        <v>473</v>
      </c>
      <c r="D91" s="2">
        <v>34.0</v>
      </c>
      <c r="E91" s="2" t="s">
        <v>470</v>
      </c>
      <c r="F91" s="2" t="s">
        <v>661</v>
      </c>
      <c r="G91" s="2" t="s">
        <v>560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">
        <v>35.0</v>
      </c>
      <c r="B92" s="2" t="s">
        <v>472</v>
      </c>
      <c r="C92" s="2" t="s">
        <v>473</v>
      </c>
      <c r="D92" s="2">
        <v>37.0</v>
      </c>
      <c r="E92" s="2" t="s">
        <v>479</v>
      </c>
      <c r="F92" s="2" t="s">
        <v>662</v>
      </c>
      <c r="G92" s="2" t="s">
        <v>560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2">
        <v>36.0</v>
      </c>
      <c r="B93" s="2" t="s">
        <v>475</v>
      </c>
      <c r="C93" s="2" t="s">
        <v>476</v>
      </c>
      <c r="D93" s="2">
        <v>3.0</v>
      </c>
      <c r="E93" s="2" t="s">
        <v>111</v>
      </c>
      <c r="F93" s="2" t="s">
        <v>663</v>
      </c>
      <c r="G93" s="2" t="s">
        <v>560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>
        <v>36.0</v>
      </c>
      <c r="B94" s="2" t="s">
        <v>475</v>
      </c>
      <c r="C94" s="2" t="s">
        <v>476</v>
      </c>
      <c r="D94" s="2">
        <v>50.0</v>
      </c>
      <c r="E94" s="2" t="s">
        <v>518</v>
      </c>
      <c r="F94" s="2" t="s">
        <v>569</v>
      </c>
      <c r="G94" s="2" t="s">
        <v>560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">
        <v>37.0</v>
      </c>
      <c r="B95" s="2" t="s">
        <v>478</v>
      </c>
      <c r="C95" s="2" t="s">
        <v>479</v>
      </c>
      <c r="D95" s="2">
        <v>39.0</v>
      </c>
      <c r="E95" s="2" t="s">
        <v>485</v>
      </c>
      <c r="F95" s="2" t="s">
        <v>664</v>
      </c>
      <c r="G95" s="2" t="s">
        <v>560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">
        <v>37.0</v>
      </c>
      <c r="B96" s="2" t="s">
        <v>478</v>
      </c>
      <c r="C96" s="2" t="s">
        <v>479</v>
      </c>
      <c r="D96" s="2">
        <v>34.0</v>
      </c>
      <c r="E96" s="2" t="s">
        <v>470</v>
      </c>
      <c r="F96" s="2" t="s">
        <v>665</v>
      </c>
      <c r="G96" s="2" t="s">
        <v>560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">
        <v>38.0</v>
      </c>
      <c r="B97" s="2" t="s">
        <v>481</v>
      </c>
      <c r="C97" s="2" t="s">
        <v>482</v>
      </c>
      <c r="D97" s="2">
        <v>39.0</v>
      </c>
      <c r="E97" s="2" t="s">
        <v>485</v>
      </c>
      <c r="F97" s="2" t="s">
        <v>666</v>
      </c>
      <c r="G97" s="2" t="s">
        <v>560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">
        <v>38.0</v>
      </c>
      <c r="B98" s="2" t="s">
        <v>481</v>
      </c>
      <c r="C98" s="2" t="s">
        <v>482</v>
      </c>
      <c r="D98" s="2">
        <v>40.0</v>
      </c>
      <c r="E98" s="2" t="s">
        <v>488</v>
      </c>
      <c r="F98" s="2" t="s">
        <v>667</v>
      </c>
      <c r="G98" s="2" t="s">
        <v>560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2">
        <v>38.0</v>
      </c>
      <c r="B99" s="2" t="s">
        <v>481</v>
      </c>
      <c r="C99" s="2" t="s">
        <v>482</v>
      </c>
      <c r="D99" s="2">
        <v>53.0</v>
      </c>
      <c r="E99" s="2" t="s">
        <v>528</v>
      </c>
      <c r="F99" s="2" t="s">
        <v>668</v>
      </c>
      <c r="G99" s="2" t="s">
        <v>560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2">
        <v>39.0</v>
      </c>
      <c r="B100" s="2" t="s">
        <v>484</v>
      </c>
      <c r="C100" s="2" t="s">
        <v>485</v>
      </c>
      <c r="D100" s="2">
        <v>38.0</v>
      </c>
      <c r="E100" s="2" t="s">
        <v>482</v>
      </c>
      <c r="F100" s="2" t="s">
        <v>669</v>
      </c>
      <c r="G100" s="2" t="s">
        <v>560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">
        <v>39.0</v>
      </c>
      <c r="B101" s="2" t="s">
        <v>484</v>
      </c>
      <c r="C101" s="2" t="s">
        <v>485</v>
      </c>
      <c r="D101" s="2">
        <v>28.0</v>
      </c>
      <c r="E101" s="2" t="s">
        <v>452</v>
      </c>
      <c r="F101" s="2" t="s">
        <v>670</v>
      </c>
      <c r="G101" s="2" t="s">
        <v>560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2">
        <v>40.0</v>
      </c>
      <c r="B102" s="2" t="s">
        <v>487</v>
      </c>
      <c r="C102" s="2" t="s">
        <v>488</v>
      </c>
      <c r="D102" s="2">
        <v>38.0</v>
      </c>
      <c r="E102" s="2" t="s">
        <v>482</v>
      </c>
      <c r="F102" s="2" t="s">
        <v>671</v>
      </c>
      <c r="G102" s="2" t="s">
        <v>560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>
        <v>40.0</v>
      </c>
      <c r="B103" s="2" t="s">
        <v>487</v>
      </c>
      <c r="C103" s="2" t="s">
        <v>488</v>
      </c>
      <c r="D103" s="2">
        <v>42.0</v>
      </c>
      <c r="E103" s="2" t="s">
        <v>494</v>
      </c>
      <c r="F103" s="2" t="s">
        <v>672</v>
      </c>
      <c r="G103" s="2" t="s">
        <v>560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2">
        <v>41.0</v>
      </c>
      <c r="B104" s="2" t="s">
        <v>490</v>
      </c>
      <c r="C104" s="2" t="s">
        <v>491</v>
      </c>
      <c r="D104" s="2">
        <v>42.0</v>
      </c>
      <c r="E104" s="2" t="s">
        <v>494</v>
      </c>
      <c r="F104" s="2" t="s">
        <v>644</v>
      </c>
      <c r="G104" s="2" t="s">
        <v>560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2">
        <v>41.0</v>
      </c>
      <c r="B105" s="2" t="s">
        <v>490</v>
      </c>
      <c r="C105" s="2" t="s">
        <v>491</v>
      </c>
      <c r="D105" s="2">
        <v>13.0</v>
      </c>
      <c r="E105" s="2" t="s">
        <v>350</v>
      </c>
      <c r="F105" s="2" t="s">
        <v>673</v>
      </c>
      <c r="G105" s="2" t="s">
        <v>560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">
        <v>42.0</v>
      </c>
      <c r="B106" s="2" t="s">
        <v>493</v>
      </c>
      <c r="C106" s="2" t="s">
        <v>494</v>
      </c>
      <c r="D106" s="2">
        <v>41.0</v>
      </c>
      <c r="E106" s="2" t="s">
        <v>491</v>
      </c>
      <c r="F106" s="2" t="s">
        <v>674</v>
      </c>
      <c r="G106" s="2" t="s">
        <v>560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>
        <v>42.0</v>
      </c>
      <c r="B107" s="2" t="s">
        <v>493</v>
      </c>
      <c r="C107" s="2" t="s">
        <v>494</v>
      </c>
      <c r="D107" s="2">
        <v>27.0</v>
      </c>
      <c r="E107" s="2" t="s">
        <v>448</v>
      </c>
      <c r="F107" s="2" t="s">
        <v>675</v>
      </c>
      <c r="G107" s="2" t="s">
        <v>560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2">
        <v>43.0</v>
      </c>
      <c r="B108" s="2" t="s">
        <v>496</v>
      </c>
      <c r="C108" s="2" t="s">
        <v>497</v>
      </c>
      <c r="D108" s="2">
        <v>44.0</v>
      </c>
      <c r="E108" s="2" t="s">
        <v>500</v>
      </c>
      <c r="F108" s="2" t="s">
        <v>676</v>
      </c>
      <c r="G108" s="2" t="s">
        <v>560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">
        <v>43.0</v>
      </c>
      <c r="B109" s="2" t="s">
        <v>496</v>
      </c>
      <c r="C109" s="2" t="s">
        <v>497</v>
      </c>
      <c r="D109" s="2">
        <v>45.0</v>
      </c>
      <c r="E109" s="2" t="s">
        <v>503</v>
      </c>
      <c r="F109" s="2" t="s">
        <v>677</v>
      </c>
      <c r="G109" s="2" t="s">
        <v>560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">
        <v>43.0</v>
      </c>
      <c r="B110" s="2" t="s">
        <v>496</v>
      </c>
      <c r="C110" s="2" t="s">
        <v>497</v>
      </c>
      <c r="D110" s="2">
        <v>17.0</v>
      </c>
      <c r="E110" s="2" t="s">
        <v>398</v>
      </c>
      <c r="F110" s="2" t="s">
        <v>678</v>
      </c>
      <c r="G110" s="2" t="s">
        <v>560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">
        <v>44.0</v>
      </c>
      <c r="B111" s="2" t="s">
        <v>499</v>
      </c>
      <c r="C111" s="2" t="s">
        <v>500</v>
      </c>
      <c r="D111" s="2">
        <v>43.0</v>
      </c>
      <c r="E111" s="2" t="s">
        <v>497</v>
      </c>
      <c r="F111" s="2" t="s">
        <v>574</v>
      </c>
      <c r="G111" s="2" t="s">
        <v>560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2">
        <v>44.0</v>
      </c>
      <c r="B112" s="2" t="s">
        <v>499</v>
      </c>
      <c r="C112" s="2" t="s">
        <v>500</v>
      </c>
      <c r="D112" s="2">
        <v>45.0</v>
      </c>
      <c r="E112" s="2" t="s">
        <v>503</v>
      </c>
      <c r="F112" s="2" t="s">
        <v>679</v>
      </c>
      <c r="G112" s="2" t="s">
        <v>560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">
        <v>45.0</v>
      </c>
      <c r="B113" s="2" t="s">
        <v>502</v>
      </c>
      <c r="C113" s="2" t="s">
        <v>503</v>
      </c>
      <c r="D113" s="2">
        <v>43.0</v>
      </c>
      <c r="E113" s="2" t="s">
        <v>497</v>
      </c>
      <c r="F113" s="2" t="s">
        <v>680</v>
      </c>
      <c r="G113" s="2" t="s">
        <v>560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2">
        <v>45.0</v>
      </c>
      <c r="B114" s="2" t="s">
        <v>502</v>
      </c>
      <c r="C114" s="2" t="s">
        <v>503</v>
      </c>
      <c r="D114" s="2">
        <v>46.0</v>
      </c>
      <c r="E114" s="2" t="s">
        <v>506</v>
      </c>
      <c r="F114" s="2" t="s">
        <v>681</v>
      </c>
      <c r="G114" s="2" t="s">
        <v>560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2">
        <v>46.0</v>
      </c>
      <c r="B115" s="2" t="s">
        <v>505</v>
      </c>
      <c r="C115" s="2" t="s">
        <v>506</v>
      </c>
      <c r="D115" s="2">
        <v>47.0</v>
      </c>
      <c r="E115" s="2" t="s">
        <v>509</v>
      </c>
      <c r="F115" s="2" t="s">
        <v>682</v>
      </c>
      <c r="G115" s="2" t="s">
        <v>560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2">
        <v>46.0</v>
      </c>
      <c r="B116" s="2" t="s">
        <v>505</v>
      </c>
      <c r="C116" s="2" t="s">
        <v>506</v>
      </c>
      <c r="D116" s="2">
        <v>45.0</v>
      </c>
      <c r="E116" s="2" t="s">
        <v>503</v>
      </c>
      <c r="F116" s="2" t="s">
        <v>683</v>
      </c>
      <c r="G116" s="2" t="s">
        <v>560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">
        <v>47.0</v>
      </c>
      <c r="B117" s="2" t="s">
        <v>508</v>
      </c>
      <c r="C117" s="2" t="s">
        <v>509</v>
      </c>
      <c r="D117" s="2">
        <v>46.0</v>
      </c>
      <c r="E117" s="2" t="s">
        <v>506</v>
      </c>
      <c r="F117" s="2" t="s">
        <v>684</v>
      </c>
      <c r="G117" s="2" t="s">
        <v>560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2">
        <v>47.0</v>
      </c>
      <c r="B118" s="2" t="s">
        <v>508</v>
      </c>
      <c r="C118" s="2" t="s">
        <v>509</v>
      </c>
      <c r="D118" s="2">
        <v>2.0</v>
      </c>
      <c r="E118" s="2" t="s">
        <v>79</v>
      </c>
      <c r="F118" s="2" t="s">
        <v>685</v>
      </c>
      <c r="G118" s="2" t="s">
        <v>560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2">
        <v>47.0</v>
      </c>
      <c r="B119" s="2" t="s">
        <v>508</v>
      </c>
      <c r="C119" s="2" t="s">
        <v>509</v>
      </c>
      <c r="D119" s="2">
        <v>6.0</v>
      </c>
      <c r="E119" s="2" t="s">
        <v>232</v>
      </c>
      <c r="F119" s="2" t="s">
        <v>581</v>
      </c>
      <c r="G119" s="2" t="s">
        <v>560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">
        <v>48.0</v>
      </c>
      <c r="B120" s="2" t="s">
        <v>511</v>
      </c>
      <c r="C120" s="2" t="s">
        <v>512</v>
      </c>
      <c r="D120" s="2">
        <v>22.0</v>
      </c>
      <c r="E120" s="2" t="s">
        <v>432</v>
      </c>
      <c r="F120" s="2" t="s">
        <v>686</v>
      </c>
      <c r="G120" s="2" t="s">
        <v>560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2">
        <v>48.0</v>
      </c>
      <c r="B121" s="2" t="s">
        <v>511</v>
      </c>
      <c r="C121" s="2" t="s">
        <v>512</v>
      </c>
      <c r="D121" s="2">
        <v>15.0</v>
      </c>
      <c r="E121" s="2" t="s">
        <v>376</v>
      </c>
      <c r="F121" s="2" t="s">
        <v>687</v>
      </c>
      <c r="G121" s="2" t="s">
        <v>560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">
        <v>49.0</v>
      </c>
      <c r="B122" s="2" t="s">
        <v>514</v>
      </c>
      <c r="C122" s="2" t="s">
        <v>515</v>
      </c>
      <c r="D122" s="2">
        <v>22.0</v>
      </c>
      <c r="E122" s="2" t="s">
        <v>432</v>
      </c>
      <c r="F122" s="2" t="s">
        <v>688</v>
      </c>
      <c r="G122" s="2" t="s">
        <v>560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2">
        <v>49.0</v>
      </c>
      <c r="B123" s="2" t="s">
        <v>514</v>
      </c>
      <c r="C123" s="2" t="s">
        <v>515</v>
      </c>
      <c r="D123" s="2">
        <v>48.0</v>
      </c>
      <c r="E123" s="2" t="s">
        <v>512</v>
      </c>
      <c r="F123" s="2" t="s">
        <v>689</v>
      </c>
      <c r="G123" s="2" t="s">
        <v>560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2">
        <v>50.0</v>
      </c>
      <c r="B124" s="2" t="s">
        <v>517</v>
      </c>
      <c r="C124" s="2" t="s">
        <v>518</v>
      </c>
      <c r="D124" s="2">
        <v>3.0</v>
      </c>
      <c r="E124" s="2" t="s">
        <v>111</v>
      </c>
      <c r="F124" s="2" t="s">
        <v>690</v>
      </c>
      <c r="G124" s="2" t="s">
        <v>560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">
        <v>50.0</v>
      </c>
      <c r="B125" s="2" t="s">
        <v>517</v>
      </c>
      <c r="C125" s="2" t="s">
        <v>518</v>
      </c>
      <c r="D125" s="2">
        <v>36.0</v>
      </c>
      <c r="E125" s="2" t="s">
        <v>476</v>
      </c>
      <c r="F125" s="2" t="s">
        <v>691</v>
      </c>
      <c r="G125" s="2" t="s">
        <v>560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2">
        <v>51.0</v>
      </c>
      <c r="B126" s="2" t="s">
        <v>520</v>
      </c>
      <c r="C126" s="2" t="s">
        <v>521</v>
      </c>
      <c r="D126" s="2">
        <v>56.0</v>
      </c>
      <c r="E126" s="2" t="s">
        <v>538</v>
      </c>
      <c r="F126" s="2" t="s">
        <v>692</v>
      </c>
      <c r="G126" s="2" t="s">
        <v>560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>
        <v>51.0</v>
      </c>
      <c r="B127" s="2" t="s">
        <v>520</v>
      </c>
      <c r="C127" s="2" t="s">
        <v>521</v>
      </c>
      <c r="D127" s="2">
        <v>59.0</v>
      </c>
      <c r="E127" s="2" t="s">
        <v>547</v>
      </c>
      <c r="F127" s="2" t="s">
        <v>693</v>
      </c>
      <c r="G127" s="2" t="s">
        <v>560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">
        <v>51.0</v>
      </c>
      <c r="B128" s="2" t="s">
        <v>520</v>
      </c>
      <c r="C128" s="2" t="s">
        <v>521</v>
      </c>
      <c r="D128" s="2">
        <v>52.0</v>
      </c>
      <c r="E128" s="2" t="s">
        <v>524</v>
      </c>
      <c r="F128" s="2" t="s">
        <v>694</v>
      </c>
      <c r="G128" s="2" t="s">
        <v>560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>
        <v>52.0</v>
      </c>
      <c r="B129" s="2" t="s">
        <v>523</v>
      </c>
      <c r="C129" s="2" t="s">
        <v>524</v>
      </c>
      <c r="D129" s="2">
        <v>15.0</v>
      </c>
      <c r="E129" s="2" t="s">
        <v>376</v>
      </c>
      <c r="F129" s="2" t="s">
        <v>695</v>
      </c>
      <c r="G129" s="2" t="s">
        <v>560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>
        <v>52.0</v>
      </c>
      <c r="B130" s="2" t="s">
        <v>523</v>
      </c>
      <c r="C130" s="2" t="s">
        <v>524</v>
      </c>
      <c r="D130" s="2">
        <v>55.0</v>
      </c>
      <c r="E130" s="2" t="s">
        <v>535</v>
      </c>
      <c r="F130" s="2" t="s">
        <v>696</v>
      </c>
      <c r="G130" s="2" t="s">
        <v>560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2">
        <v>52.0</v>
      </c>
      <c r="B131" s="2" t="s">
        <v>523</v>
      </c>
      <c r="C131" s="2" t="s">
        <v>524</v>
      </c>
      <c r="D131" s="2">
        <v>20.0</v>
      </c>
      <c r="E131" s="2" t="s">
        <v>426</v>
      </c>
      <c r="F131" s="2" t="s">
        <v>697</v>
      </c>
      <c r="G131" s="2" t="s">
        <v>560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2">
        <v>53.0</v>
      </c>
      <c r="B132" s="2" t="s">
        <v>527</v>
      </c>
      <c r="C132" s="2" t="s">
        <v>528</v>
      </c>
      <c r="D132" s="2">
        <v>30.0</v>
      </c>
      <c r="E132" s="2" t="s">
        <v>458</v>
      </c>
      <c r="F132" s="2" t="s">
        <v>698</v>
      </c>
      <c r="G132" s="2" t="s">
        <v>560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>
        <v>53.0</v>
      </c>
      <c r="B133" s="2" t="s">
        <v>527</v>
      </c>
      <c r="C133" s="2" t="s">
        <v>528</v>
      </c>
      <c r="D133" s="2">
        <v>38.0</v>
      </c>
      <c r="E133" s="2" t="s">
        <v>482</v>
      </c>
      <c r="F133" s="2" t="s">
        <v>671</v>
      </c>
      <c r="G133" s="2" t="s">
        <v>560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2">
        <v>54.0</v>
      </c>
      <c r="B134" s="2" t="s">
        <v>530</v>
      </c>
      <c r="C134" s="2" t="s">
        <v>531</v>
      </c>
      <c r="D134" s="2">
        <v>6.0</v>
      </c>
      <c r="E134" s="2" t="s">
        <v>232</v>
      </c>
      <c r="F134" s="2" t="s">
        <v>699</v>
      </c>
      <c r="G134" s="2" t="s">
        <v>560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2">
        <v>54.0</v>
      </c>
      <c r="B135" s="2" t="s">
        <v>530</v>
      </c>
      <c r="C135" s="2" t="s">
        <v>531</v>
      </c>
      <c r="D135" s="2">
        <v>57.0</v>
      </c>
      <c r="E135" s="2" t="s">
        <v>541</v>
      </c>
      <c r="F135" s="2" t="s">
        <v>700</v>
      </c>
      <c r="G135" s="2" t="s">
        <v>560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2">
        <v>54.0</v>
      </c>
      <c r="B136" s="2" t="s">
        <v>530</v>
      </c>
      <c r="C136" s="2" t="s">
        <v>531</v>
      </c>
      <c r="D136" s="2">
        <v>60.0</v>
      </c>
      <c r="E136" s="2" t="s">
        <v>550</v>
      </c>
      <c r="F136" s="2" t="s">
        <v>701</v>
      </c>
      <c r="G136" s="2" t="s">
        <v>560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2">
        <v>55.0</v>
      </c>
      <c r="B137" s="2" t="s">
        <v>534</v>
      </c>
      <c r="C137" s="2" t="s">
        <v>535</v>
      </c>
      <c r="D137" s="2">
        <v>52.0</v>
      </c>
      <c r="E137" s="2" t="s">
        <v>524</v>
      </c>
      <c r="F137" s="2" t="s">
        <v>702</v>
      </c>
      <c r="G137" s="2" t="s">
        <v>560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2">
        <v>55.0</v>
      </c>
      <c r="B138" s="2" t="s">
        <v>534</v>
      </c>
      <c r="C138" s="2" t="s">
        <v>535</v>
      </c>
      <c r="D138" s="2">
        <v>30.0</v>
      </c>
      <c r="E138" s="2" t="s">
        <v>458</v>
      </c>
      <c r="F138" s="2" t="s">
        <v>703</v>
      </c>
      <c r="G138" s="2" t="s">
        <v>560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2">
        <v>56.0</v>
      </c>
      <c r="B139" s="2" t="s">
        <v>537</v>
      </c>
      <c r="C139" s="2" t="s">
        <v>538</v>
      </c>
      <c r="D139" s="2">
        <v>51.0</v>
      </c>
      <c r="E139" s="2" t="s">
        <v>521</v>
      </c>
      <c r="F139" s="2" t="s">
        <v>704</v>
      </c>
      <c r="G139" s="2" t="s">
        <v>560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2">
        <v>56.0</v>
      </c>
      <c r="B140" s="2" t="s">
        <v>537</v>
      </c>
      <c r="C140" s="2" t="s">
        <v>538</v>
      </c>
      <c r="D140" s="2">
        <v>59.0</v>
      </c>
      <c r="E140" s="2" t="s">
        <v>547</v>
      </c>
      <c r="F140" s="2" t="s">
        <v>705</v>
      </c>
      <c r="G140" s="2" t="s">
        <v>560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2">
        <v>57.0</v>
      </c>
      <c r="B141" s="2" t="s">
        <v>540</v>
      </c>
      <c r="C141" s="2" t="s">
        <v>541</v>
      </c>
      <c r="D141" s="2">
        <v>54.0</v>
      </c>
      <c r="E141" s="2" t="s">
        <v>531</v>
      </c>
      <c r="F141" s="2" t="s">
        <v>706</v>
      </c>
      <c r="G141" s="2" t="s">
        <v>560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2">
        <v>57.0</v>
      </c>
      <c r="B142" s="2" t="s">
        <v>540</v>
      </c>
      <c r="C142" s="2" t="s">
        <v>541</v>
      </c>
      <c r="D142" s="2">
        <v>60.0</v>
      </c>
      <c r="E142" s="2" t="s">
        <v>550</v>
      </c>
      <c r="F142" s="2" t="s">
        <v>707</v>
      </c>
      <c r="G142" s="2" t="s">
        <v>560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2">
        <v>58.0</v>
      </c>
      <c r="B143" s="2" t="s">
        <v>543</v>
      </c>
      <c r="C143" s="2" t="s">
        <v>544</v>
      </c>
      <c r="D143" s="2">
        <v>30.0</v>
      </c>
      <c r="E143" s="2" t="s">
        <v>458</v>
      </c>
      <c r="F143" s="2" t="s">
        <v>708</v>
      </c>
      <c r="G143" s="2" t="s">
        <v>560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2">
        <v>58.0</v>
      </c>
      <c r="B144" s="2" t="s">
        <v>543</v>
      </c>
      <c r="C144" s="2" t="s">
        <v>544</v>
      </c>
      <c r="D144" s="2">
        <v>53.0</v>
      </c>
      <c r="E144" s="2" t="s">
        <v>528</v>
      </c>
      <c r="F144" s="2" t="s">
        <v>709</v>
      </c>
      <c r="G144" s="2" t="s">
        <v>560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">
        <v>59.0</v>
      </c>
      <c r="B145" s="2" t="s">
        <v>546</v>
      </c>
      <c r="C145" s="2" t="s">
        <v>547</v>
      </c>
      <c r="D145" s="2">
        <v>51.0</v>
      </c>
      <c r="E145" s="2" t="s">
        <v>521</v>
      </c>
      <c r="F145" s="2" t="s">
        <v>710</v>
      </c>
      <c r="G145" s="2" t="s">
        <v>560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2">
        <v>59.0</v>
      </c>
      <c r="B146" s="2" t="s">
        <v>546</v>
      </c>
      <c r="C146" s="2" t="s">
        <v>547</v>
      </c>
      <c r="D146" s="2">
        <v>56.0</v>
      </c>
      <c r="E146" s="2" t="s">
        <v>538</v>
      </c>
      <c r="F146" s="2" t="s">
        <v>711</v>
      </c>
      <c r="G146" s="2" t="s">
        <v>560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2">
        <v>60.0</v>
      </c>
      <c r="B147" s="2" t="s">
        <v>549</v>
      </c>
      <c r="C147" s="2" t="s">
        <v>550</v>
      </c>
      <c r="D147" s="2">
        <v>54.0</v>
      </c>
      <c r="E147" s="2" t="s">
        <v>531</v>
      </c>
      <c r="F147" s="2" t="s">
        <v>712</v>
      </c>
      <c r="G147" s="2" t="s">
        <v>560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">
        <v>60.0</v>
      </c>
      <c r="B148" s="2" t="s">
        <v>549</v>
      </c>
      <c r="C148" s="2" t="s">
        <v>550</v>
      </c>
      <c r="D148" s="2">
        <v>57.0</v>
      </c>
      <c r="E148" s="2" t="s">
        <v>541</v>
      </c>
      <c r="F148" s="2" t="s">
        <v>713</v>
      </c>
      <c r="G148" s="2" t="s">
        <v>560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1.57"/>
    <col customWidth="1" min="3" max="4" width="8.71"/>
    <col customWidth="1" min="5" max="5" width="161.71"/>
    <col customWidth="1" min="6" max="8" width="8.71"/>
  </cols>
  <sheetData>
    <row r="1">
      <c r="A1" s="2" t="s">
        <v>595</v>
      </c>
      <c r="B1" s="2" t="s">
        <v>596</v>
      </c>
      <c r="C1" s="2" t="s">
        <v>597</v>
      </c>
      <c r="D1" s="2" t="s">
        <v>598</v>
      </c>
      <c r="E1" s="2" t="s">
        <v>599</v>
      </c>
      <c r="F1" s="2" t="s">
        <v>600</v>
      </c>
      <c r="G1" s="2" t="s">
        <v>601</v>
      </c>
      <c r="H1" s="2" t="s">
        <v>602</v>
      </c>
      <c r="I1" s="3"/>
      <c r="J1" s="3" t="str">
        <f>MATCH(6, 'briefs_ТЗ'!A:A, 0)</f>
        <v>#ERROR!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tr">
        <f>MATCH(1, A:A, 0)</f>
        <v>#ERROR!</v>
      </c>
    </row>
    <row r="2">
      <c r="A2" s="2" t="s">
        <v>605</v>
      </c>
      <c r="B2" s="2" t="s">
        <v>40</v>
      </c>
      <c r="C2" s="2" t="s">
        <v>45</v>
      </c>
      <c r="D2" s="2" t="s">
        <v>41</v>
      </c>
      <c r="E2" s="2" t="s">
        <v>607</v>
      </c>
      <c r="F2" s="2">
        <v>7075.0</v>
      </c>
      <c r="G2" s="1" t="s">
        <v>608</v>
      </c>
      <c r="H2" s="7">
        <v>46248.0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>
        <v>2.0</v>
      </c>
    </row>
    <row r="3">
      <c r="A3" s="4" t="s">
        <v>611</v>
      </c>
      <c r="B3" s="4" t="s">
        <v>229</v>
      </c>
      <c r="C3" s="4" t="s">
        <v>232</v>
      </c>
      <c r="D3" s="4" t="s">
        <v>76</v>
      </c>
      <c r="E3" s="4" t="s">
        <v>612</v>
      </c>
      <c r="F3" s="4">
        <v>5820.0</v>
      </c>
      <c r="G3" s="4" t="s">
        <v>613</v>
      </c>
      <c r="H3" s="8">
        <v>46245.0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2.0</v>
      </c>
      <c r="B4" s="4" t="s">
        <v>74</v>
      </c>
      <c r="C4" s="4" t="s">
        <v>79</v>
      </c>
      <c r="D4" s="4" t="s">
        <v>41</v>
      </c>
      <c r="E4" s="4" t="s">
        <v>615</v>
      </c>
      <c r="F4" s="4">
        <v>6305.0</v>
      </c>
      <c r="G4" s="4" t="s">
        <v>87</v>
      </c>
      <c r="H4" s="8">
        <v>46247.0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0.0" customHeight="1">
      <c r="A5" s="4">
        <v>3.0</v>
      </c>
      <c r="B5" s="4" t="s">
        <v>103</v>
      </c>
      <c r="C5" s="4" t="s">
        <v>111</v>
      </c>
      <c r="D5" s="4" t="s">
        <v>41</v>
      </c>
      <c r="E5" s="4" t="s">
        <v>619</v>
      </c>
      <c r="F5" s="4">
        <v>9031.0</v>
      </c>
      <c r="G5" s="4" t="s">
        <v>87</v>
      </c>
      <c r="H5" s="8">
        <v>46249.0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57"/>
    <col customWidth="1" min="3" max="4" width="8.71"/>
    <col customWidth="1" min="5" max="5" width="74.43"/>
    <col customWidth="1" min="6" max="6" width="30.43"/>
    <col customWidth="1" min="7" max="7" width="26.0"/>
    <col customWidth="1" min="8" max="8" width="8.71"/>
    <col customWidth="1" min="9" max="9" width="45.29"/>
    <col customWidth="1" min="10" max="10" width="30.86"/>
    <col customWidth="1" min="11" max="16" width="8.71"/>
  </cols>
  <sheetData>
    <row r="1">
      <c r="A1" s="2" t="s">
        <v>595</v>
      </c>
      <c r="B1" s="2" t="s">
        <v>596</v>
      </c>
      <c r="C1" s="2" t="s">
        <v>597</v>
      </c>
      <c r="D1" s="2" t="s">
        <v>598</v>
      </c>
      <c r="E1" s="2" t="s">
        <v>714</v>
      </c>
      <c r="F1" s="2" t="s">
        <v>715</v>
      </c>
      <c r="G1" s="2" t="s">
        <v>716</v>
      </c>
      <c r="H1" s="2" t="s">
        <v>717</v>
      </c>
      <c r="I1" s="2" t="s">
        <v>718</v>
      </c>
      <c r="J1" s="2" t="s">
        <v>719</v>
      </c>
      <c r="K1" s="2" t="s">
        <v>720</v>
      </c>
      <c r="L1" s="2" t="s">
        <v>721</v>
      </c>
      <c r="M1" s="2" t="s">
        <v>722</v>
      </c>
      <c r="N1" s="2" t="s">
        <v>723</v>
      </c>
      <c r="O1" s="2" t="s">
        <v>724</v>
      </c>
      <c r="P1" s="2" t="s">
        <v>725</v>
      </c>
      <c r="Q1" s="4" t="s">
        <v>17</v>
      </c>
      <c r="R1" s="4" t="s">
        <v>18</v>
      </c>
      <c r="S1" s="4" t="s">
        <v>726</v>
      </c>
      <c r="T1" s="4" t="s">
        <v>727</v>
      </c>
      <c r="U1" s="4" t="s">
        <v>728</v>
      </c>
      <c r="V1" s="3"/>
      <c r="W1" s="3"/>
      <c r="X1" s="3"/>
      <c r="Y1" s="3"/>
      <c r="Z1" s="3" t="str">
        <f>MATCH(1, A:A, 0)</f>
        <v>#ERROR!</v>
      </c>
    </row>
    <row r="2">
      <c r="A2" s="2" t="s">
        <v>605</v>
      </c>
      <c r="B2" s="2" t="s">
        <v>40</v>
      </c>
      <c r="C2" s="2" t="s">
        <v>45</v>
      </c>
      <c r="D2" s="2" t="s">
        <v>41</v>
      </c>
      <c r="E2" s="2" t="s">
        <v>51</v>
      </c>
      <c r="F2" s="2" t="s">
        <v>729</v>
      </c>
      <c r="G2" s="2" t="s">
        <v>730</v>
      </c>
      <c r="H2" s="2" t="s">
        <v>731</v>
      </c>
      <c r="I2" s="2" t="s">
        <v>732</v>
      </c>
      <c r="J2" s="2" t="s">
        <v>733</v>
      </c>
      <c r="K2" s="2" t="s">
        <v>734</v>
      </c>
      <c r="L2" s="2" t="s">
        <v>735</v>
      </c>
      <c r="M2" s="2" t="s">
        <v>736</v>
      </c>
      <c r="N2" s="2" t="s">
        <v>737</v>
      </c>
      <c r="O2" s="1" t="s">
        <v>145</v>
      </c>
      <c r="P2" s="2" t="s">
        <v>729</v>
      </c>
      <c r="Q2" s="4" t="s">
        <v>90</v>
      </c>
      <c r="R2" s="4" t="s">
        <v>738</v>
      </c>
      <c r="S2" s="4" t="s">
        <v>739</v>
      </c>
      <c r="T2" s="4">
        <v>95.0</v>
      </c>
      <c r="U2" s="3"/>
      <c r="V2" s="3"/>
      <c r="W2" s="3"/>
      <c r="X2" s="3"/>
      <c r="Y2" s="3"/>
      <c r="Z2" s="3"/>
    </row>
    <row r="3">
      <c r="A3" s="4" t="s">
        <v>611</v>
      </c>
      <c r="B3" s="4" t="s">
        <v>229</v>
      </c>
      <c r="C3" s="4" t="s">
        <v>232</v>
      </c>
      <c r="D3" s="4" t="s">
        <v>76</v>
      </c>
      <c r="E3" s="4" t="s">
        <v>740</v>
      </c>
      <c r="F3" s="8">
        <v>46249.0</v>
      </c>
      <c r="G3" s="4" t="s">
        <v>741</v>
      </c>
      <c r="H3" s="4" t="s">
        <v>742</v>
      </c>
      <c r="I3" s="4" t="s">
        <v>743</v>
      </c>
      <c r="J3" s="3"/>
      <c r="K3" s="3"/>
      <c r="L3" s="4" t="s">
        <v>744</v>
      </c>
      <c r="M3" s="3"/>
      <c r="N3" s="3"/>
      <c r="O3" s="4" t="s">
        <v>87</v>
      </c>
      <c r="P3" s="3"/>
      <c r="Q3" s="3" t="str">
        <f>IF($A3=6, "solder-article-writer", "solder-brief-writer")</f>
        <v>#ERROR!</v>
      </c>
      <c r="R3" s="3" t="str">
        <f>IF($A3=6, "Передать на проверку в solder-article-reviewer", "Ожидает написания")</f>
        <v>#ERROR!</v>
      </c>
      <c r="S3" s="3"/>
      <c r="T3" s="3"/>
      <c r="U3" s="3"/>
      <c r="V3" s="3"/>
      <c r="W3" s="3"/>
      <c r="X3" s="3"/>
      <c r="Y3" s="3"/>
      <c r="Z3" s="3"/>
    </row>
    <row r="4">
      <c r="A4" s="4">
        <v>2.0</v>
      </c>
      <c r="B4" s="4" t="s">
        <v>74</v>
      </c>
      <c r="C4" s="4" t="s">
        <v>79</v>
      </c>
      <c r="D4" s="4" t="s">
        <v>41</v>
      </c>
      <c r="E4" s="3"/>
      <c r="F4" s="3"/>
      <c r="G4" s="3"/>
      <c r="H4" s="3"/>
      <c r="I4" s="3"/>
      <c r="J4" s="3"/>
      <c r="K4" s="3"/>
      <c r="L4" s="3"/>
      <c r="M4" s="3"/>
      <c r="N4" s="3"/>
      <c r="O4" s="4" t="s">
        <v>145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2.0</v>
      </c>
      <c r="B5" s="4" t="s">
        <v>74</v>
      </c>
      <c r="C5" s="4" t="s">
        <v>79</v>
      </c>
      <c r="D5" s="4" t="s">
        <v>41</v>
      </c>
      <c r="E5" s="4" t="s">
        <v>740</v>
      </c>
      <c r="F5" s="4" t="s">
        <v>745</v>
      </c>
      <c r="G5" s="4" t="s">
        <v>746</v>
      </c>
      <c r="H5" s="4" t="s">
        <v>747</v>
      </c>
      <c r="I5" s="4" t="s">
        <v>748</v>
      </c>
      <c r="J5" s="4" t="s">
        <v>749</v>
      </c>
      <c r="K5" s="4" t="s">
        <v>750</v>
      </c>
      <c r="L5" s="4" t="s">
        <v>751</v>
      </c>
      <c r="M5" s="4" t="s">
        <v>752</v>
      </c>
      <c r="N5" s="4" t="s">
        <v>753</v>
      </c>
      <c r="O5" s="4" t="s">
        <v>145</v>
      </c>
      <c r="P5" s="8">
        <v>46247.0</v>
      </c>
      <c r="Q5" s="4" t="s">
        <v>754</v>
      </c>
      <c r="R5" s="3"/>
      <c r="S5" s="3"/>
      <c r="T5" s="3"/>
      <c r="U5" s="3"/>
      <c r="V5" s="3"/>
      <c r="W5" s="3"/>
      <c r="X5" s="3"/>
      <c r="Y5" s="3"/>
      <c r="Z5" s="3"/>
    </row>
    <row r="6">
      <c r="A6" s="4">
        <v>3.0</v>
      </c>
      <c r="B6" s="4" t="s">
        <v>103</v>
      </c>
      <c r="C6" s="4" t="s">
        <v>111</v>
      </c>
      <c r="D6" s="4" t="s">
        <v>41</v>
      </c>
      <c r="E6" s="4" t="s">
        <v>740</v>
      </c>
      <c r="F6" s="8">
        <v>46250.0</v>
      </c>
      <c r="G6" s="4" t="s">
        <v>755</v>
      </c>
      <c r="H6" s="4" t="s">
        <v>756</v>
      </c>
      <c r="I6" s="4" t="s">
        <v>757</v>
      </c>
      <c r="J6" s="4" t="s">
        <v>758</v>
      </c>
      <c r="K6" s="4" t="s">
        <v>759</v>
      </c>
      <c r="L6" s="4" t="s">
        <v>760</v>
      </c>
      <c r="M6" s="4" t="s">
        <v>761</v>
      </c>
      <c r="N6" s="4" t="s">
        <v>762</v>
      </c>
      <c r="O6" s="4" t="s">
        <v>87</v>
      </c>
      <c r="P6" s="8">
        <v>46249.0</v>
      </c>
      <c r="Q6" s="4" t="s">
        <v>90</v>
      </c>
      <c r="R6" s="4" t="s">
        <v>121</v>
      </c>
      <c r="S6" s="4" t="s">
        <v>739</v>
      </c>
      <c r="T6" s="4">
        <v>96.0</v>
      </c>
      <c r="U6" s="4" t="s">
        <v>763</v>
      </c>
      <c r="V6" s="3"/>
      <c r="W6" s="3"/>
      <c r="X6" s="3"/>
      <c r="Y6" s="3"/>
      <c r="Z6" s="3"/>
    </row>
    <row r="7">
      <c r="A7" s="4">
        <v>4.0</v>
      </c>
      <c r="B7" s="4" t="s">
        <v>137</v>
      </c>
      <c r="C7" s="4" t="s">
        <v>138</v>
      </c>
      <c r="D7" s="4" t="s">
        <v>41</v>
      </c>
      <c r="E7" s="4" t="s">
        <v>753</v>
      </c>
      <c r="F7" s="8">
        <v>46251.0</v>
      </c>
      <c r="G7" s="4" t="s">
        <v>764</v>
      </c>
      <c r="H7" s="4" t="s">
        <v>765</v>
      </c>
      <c r="I7" s="4" t="s">
        <v>766</v>
      </c>
      <c r="J7" s="4" t="s">
        <v>767</v>
      </c>
      <c r="K7" s="4" t="s">
        <v>768</v>
      </c>
      <c r="L7" s="4" t="s">
        <v>769</v>
      </c>
      <c r="M7" s="4" t="s">
        <v>146</v>
      </c>
      <c r="N7" s="4" t="s">
        <v>770</v>
      </c>
      <c r="O7" s="4" t="s">
        <v>145</v>
      </c>
      <c r="P7" s="8">
        <v>46249.0</v>
      </c>
      <c r="Q7" s="4" t="s">
        <v>90</v>
      </c>
      <c r="R7" s="4" t="s">
        <v>148</v>
      </c>
      <c r="S7" s="4" t="s">
        <v>739</v>
      </c>
      <c r="T7" s="4">
        <v>95.0</v>
      </c>
      <c r="U7" s="4" t="s">
        <v>771</v>
      </c>
      <c r="V7" s="3"/>
      <c r="W7" s="3"/>
      <c r="X7" s="3"/>
      <c r="Y7" s="3"/>
      <c r="Z7" s="3"/>
    </row>
    <row r="8">
      <c r="A8" s="4">
        <v>15.0</v>
      </c>
      <c r="B8" s="4" t="s">
        <v>374</v>
      </c>
      <c r="C8" s="4" t="s">
        <v>376</v>
      </c>
      <c r="D8" s="4" t="s">
        <v>106</v>
      </c>
      <c r="E8" s="4" t="s">
        <v>740</v>
      </c>
      <c r="F8" s="8">
        <v>46252.0</v>
      </c>
      <c r="G8" s="4" t="s">
        <v>772</v>
      </c>
      <c r="H8" s="4" t="s">
        <v>773</v>
      </c>
      <c r="I8" s="4" t="s">
        <v>774</v>
      </c>
      <c r="J8" s="4" t="s">
        <v>775</v>
      </c>
      <c r="K8" s="4" t="s">
        <v>776</v>
      </c>
      <c r="L8" s="4" t="s">
        <v>777</v>
      </c>
      <c r="M8" s="4" t="s">
        <v>380</v>
      </c>
      <c r="N8" s="4" t="s">
        <v>778</v>
      </c>
      <c r="O8" s="4" t="s">
        <v>145</v>
      </c>
      <c r="P8" s="8">
        <v>46249.0</v>
      </c>
      <c r="Q8" s="4" t="s">
        <v>90</v>
      </c>
      <c r="R8" s="4" t="s">
        <v>148</v>
      </c>
      <c r="S8" s="4" t="s">
        <v>739</v>
      </c>
      <c r="T8" s="4">
        <v>98.0</v>
      </c>
      <c r="U8" s="4" t="s">
        <v>779</v>
      </c>
      <c r="V8" s="3"/>
      <c r="W8" s="3"/>
      <c r="X8" s="3"/>
      <c r="Y8" s="3"/>
      <c r="Z8" s="3"/>
    </row>
    <row r="9">
      <c r="A9" s="4">
        <v>16.0</v>
      </c>
      <c r="B9" s="4" t="s">
        <v>385</v>
      </c>
      <c r="C9" s="4" t="s">
        <v>386</v>
      </c>
      <c r="D9" s="4" t="s">
        <v>106</v>
      </c>
      <c r="E9" s="4" t="s">
        <v>740</v>
      </c>
      <c r="F9" s="8">
        <v>46253.0</v>
      </c>
      <c r="G9" s="4" t="s">
        <v>780</v>
      </c>
      <c r="H9" s="4" t="s">
        <v>781</v>
      </c>
      <c r="I9" s="4" t="s">
        <v>782</v>
      </c>
      <c r="J9" s="4" t="s">
        <v>783</v>
      </c>
      <c r="K9" s="4" t="s">
        <v>784</v>
      </c>
      <c r="L9" s="4" t="s">
        <v>785</v>
      </c>
      <c r="M9" s="4" t="s">
        <v>389</v>
      </c>
      <c r="N9" s="4" t="s">
        <v>786</v>
      </c>
      <c r="O9" s="4" t="s">
        <v>145</v>
      </c>
      <c r="P9" s="8">
        <v>46249.0</v>
      </c>
      <c r="Q9" s="4" t="s">
        <v>90</v>
      </c>
      <c r="R9" s="4" t="s">
        <v>148</v>
      </c>
      <c r="S9" s="4" t="s">
        <v>739</v>
      </c>
      <c r="T9" s="4">
        <v>97.0</v>
      </c>
      <c r="U9" s="4" t="s">
        <v>787</v>
      </c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8" width="38.0"/>
  </cols>
  <sheetData>
    <row r="1">
      <c r="A1" s="9" t="s">
        <v>595</v>
      </c>
      <c r="B1" s="9" t="s">
        <v>596</v>
      </c>
      <c r="C1" s="9" t="s">
        <v>597</v>
      </c>
      <c r="D1" s="9" t="s">
        <v>788</v>
      </c>
      <c r="E1" s="9" t="s">
        <v>789</v>
      </c>
      <c r="F1" s="9" t="s">
        <v>790</v>
      </c>
      <c r="G1" s="9" t="s">
        <v>791</v>
      </c>
      <c r="H1" s="9" t="s">
        <v>792</v>
      </c>
      <c r="I1" s="9" t="s">
        <v>793</v>
      </c>
      <c r="J1" s="9" t="s">
        <v>794</v>
      </c>
      <c r="K1" s="9" t="s">
        <v>795</v>
      </c>
      <c r="L1" s="9" t="s">
        <v>796</v>
      </c>
      <c r="M1" s="9" t="s">
        <v>797</v>
      </c>
      <c r="N1" s="10" t="s">
        <v>798</v>
      </c>
      <c r="O1" s="9" t="s">
        <v>799</v>
      </c>
      <c r="P1" s="10" t="s">
        <v>800</v>
      </c>
      <c r="Q1" s="10" t="s">
        <v>801</v>
      </c>
      <c r="R1" s="10" t="s">
        <v>802</v>
      </c>
      <c r="S1" s="10" t="s">
        <v>803</v>
      </c>
      <c r="T1" s="10" t="s">
        <v>804</v>
      </c>
      <c r="U1" s="10" t="s">
        <v>805</v>
      </c>
      <c r="V1" s="9" t="s">
        <v>806</v>
      </c>
      <c r="W1" s="9" t="s">
        <v>807</v>
      </c>
      <c r="X1" s="9" t="s">
        <v>808</v>
      </c>
      <c r="Y1" s="10" t="s">
        <v>809</v>
      </c>
      <c r="Z1" s="10" t="str">
        <f>MATCH(1, A:A, 0)</f>
        <v>#ERROR!</v>
      </c>
      <c r="AA1" s="9" t="s">
        <v>810</v>
      </c>
      <c r="AB1" s="9" t="s">
        <v>811</v>
      </c>
    </row>
    <row r="2" ht="199.5" customHeight="1">
      <c r="A2" s="11">
        <v>10.0</v>
      </c>
      <c r="B2" s="11" t="s">
        <v>812</v>
      </c>
      <c r="C2" s="11" t="s">
        <v>45</v>
      </c>
      <c r="D2" s="11" t="s">
        <v>813</v>
      </c>
      <c r="E2" s="11" t="s">
        <v>814</v>
      </c>
      <c r="F2" s="11" t="s">
        <v>815</v>
      </c>
      <c r="G2" s="11" t="s">
        <v>816</v>
      </c>
      <c r="H2" s="11" t="s">
        <v>817</v>
      </c>
      <c r="I2" s="11" t="s">
        <v>818</v>
      </c>
      <c r="J2" s="11" t="s">
        <v>819</v>
      </c>
      <c r="K2" s="11" t="s">
        <v>820</v>
      </c>
      <c r="L2" s="11" t="s">
        <v>821</v>
      </c>
      <c r="M2" s="11" t="s">
        <v>822</v>
      </c>
      <c r="N2" s="11" t="s">
        <v>823</v>
      </c>
      <c r="O2" s="12" t="s">
        <v>824</v>
      </c>
      <c r="P2" s="13" t="s">
        <v>825</v>
      </c>
      <c r="Q2" s="13" t="s">
        <v>826</v>
      </c>
      <c r="R2" s="13" t="s">
        <v>827</v>
      </c>
      <c r="S2" s="13" t="s">
        <v>828</v>
      </c>
      <c r="T2" s="13" t="s">
        <v>829</v>
      </c>
      <c r="U2" s="13" t="s">
        <v>830</v>
      </c>
      <c r="V2" s="13" t="s">
        <v>831</v>
      </c>
      <c r="W2" s="13" t="s">
        <v>832</v>
      </c>
      <c r="X2" s="13" t="s">
        <v>833</v>
      </c>
      <c r="Y2" s="13" t="s">
        <v>834</v>
      </c>
      <c r="Z2" s="13" t="s">
        <v>835</v>
      </c>
      <c r="AA2" s="13" t="s">
        <v>836</v>
      </c>
      <c r="AB2" s="13" t="s">
        <v>837</v>
      </c>
    </row>
    <row r="3" ht="199.5" customHeight="1">
      <c r="A3" s="11">
        <v>11.0</v>
      </c>
      <c r="B3" s="11" t="s">
        <v>838</v>
      </c>
      <c r="C3" s="11" t="s">
        <v>839</v>
      </c>
      <c r="D3" s="11" t="s">
        <v>840</v>
      </c>
      <c r="E3" s="11" t="s">
        <v>841</v>
      </c>
      <c r="F3" s="11" t="s">
        <v>842</v>
      </c>
      <c r="G3" s="11" t="s">
        <v>843</v>
      </c>
      <c r="H3" s="11" t="s">
        <v>844</v>
      </c>
      <c r="I3" s="11" t="s">
        <v>845</v>
      </c>
      <c r="J3" s="11" t="s">
        <v>846</v>
      </c>
      <c r="K3" s="11" t="s">
        <v>847</v>
      </c>
      <c r="L3" s="11" t="s">
        <v>848</v>
      </c>
      <c r="M3" s="11" t="s">
        <v>849</v>
      </c>
      <c r="N3" s="11" t="s">
        <v>850</v>
      </c>
      <c r="O3" s="11" t="s">
        <v>851</v>
      </c>
      <c r="P3" s="13" t="s">
        <v>852</v>
      </c>
      <c r="Q3" s="13" t="s">
        <v>853</v>
      </c>
      <c r="R3" s="13" t="s">
        <v>854</v>
      </c>
      <c r="S3" s="13" t="s">
        <v>855</v>
      </c>
      <c r="T3" s="13" t="s">
        <v>856</v>
      </c>
      <c r="U3" s="13" t="s">
        <v>857</v>
      </c>
      <c r="V3" s="13" t="s">
        <v>858</v>
      </c>
      <c r="W3" s="13" t="s">
        <v>859</v>
      </c>
      <c r="X3" s="13" t="s">
        <v>860</v>
      </c>
      <c r="Y3" s="13" t="s">
        <v>861</v>
      </c>
      <c r="Z3" s="13" t="s">
        <v>862</v>
      </c>
      <c r="AA3" s="13" t="s">
        <v>863</v>
      </c>
      <c r="AB3" s="13" t="s">
        <v>864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40.0"/>
    <col customWidth="1" min="3" max="3" width="32.0"/>
    <col customWidth="1" min="4" max="4" width="6.0"/>
    <col customWidth="1" min="5" max="5" width="32.0"/>
    <col customWidth="1" min="6" max="6" width="85.0"/>
    <col customWidth="1" min="7" max="7" width="18.0"/>
    <col customWidth="1" min="8" max="8" width="55.0"/>
    <col customWidth="1" min="9" max="9" width="40.0"/>
    <col customWidth="1" min="10" max="10" width="38.0"/>
    <col customWidth="1" min="11" max="11" width="18.0"/>
    <col customWidth="1" min="12" max="12" width="32.0"/>
    <col customWidth="1" min="13" max="26" width="8.71"/>
  </cols>
  <sheetData>
    <row r="1">
      <c r="A1" s="9" t="s">
        <v>595</v>
      </c>
      <c r="B1" s="9" t="s">
        <v>865</v>
      </c>
      <c r="C1" s="9" t="s">
        <v>866</v>
      </c>
      <c r="D1" s="9" t="s">
        <v>867</v>
      </c>
      <c r="E1" s="9" t="s">
        <v>868</v>
      </c>
      <c r="F1" s="9" t="s">
        <v>869</v>
      </c>
      <c r="G1" s="9" t="s">
        <v>870</v>
      </c>
      <c r="H1" s="9" t="s">
        <v>871</v>
      </c>
      <c r="I1" s="9" t="s">
        <v>872</v>
      </c>
      <c r="J1" s="9" t="s">
        <v>873</v>
      </c>
      <c r="K1" s="9" t="s">
        <v>601</v>
      </c>
      <c r="L1" s="9" t="s">
        <v>874</v>
      </c>
    </row>
    <row r="2" ht="109.5" customHeight="1">
      <c r="A2" s="13">
        <v>10.0</v>
      </c>
      <c r="B2" s="13" t="s">
        <v>812</v>
      </c>
      <c r="C2" s="13" t="s">
        <v>45</v>
      </c>
      <c r="D2" s="13">
        <v>1.0</v>
      </c>
      <c r="E2" s="13" t="s">
        <v>875</v>
      </c>
      <c r="F2" s="13" t="s">
        <v>876</v>
      </c>
      <c r="G2" s="13" t="s">
        <v>877</v>
      </c>
      <c r="H2" s="13" t="s">
        <v>820</v>
      </c>
      <c r="I2" s="13" t="s">
        <v>878</v>
      </c>
      <c r="J2" s="13" t="s">
        <v>879</v>
      </c>
      <c r="K2" s="13" t="s">
        <v>880</v>
      </c>
      <c r="L2" s="13" t="s">
        <v>881</v>
      </c>
    </row>
    <row r="3" ht="109.5" customHeight="1">
      <c r="A3" s="13">
        <v>10.0</v>
      </c>
      <c r="B3" s="13" t="s">
        <v>812</v>
      </c>
      <c r="C3" s="13" t="s">
        <v>45</v>
      </c>
      <c r="D3" s="13">
        <v>2.0</v>
      </c>
      <c r="E3" s="13" t="s">
        <v>882</v>
      </c>
      <c r="F3" s="13" t="s">
        <v>883</v>
      </c>
      <c r="G3" s="13" t="s">
        <v>877</v>
      </c>
      <c r="H3" s="13" t="s">
        <v>884</v>
      </c>
      <c r="I3" s="13" t="s">
        <v>885</v>
      </c>
      <c r="J3" s="13" t="s">
        <v>886</v>
      </c>
      <c r="K3" s="13" t="s">
        <v>880</v>
      </c>
      <c r="L3" s="13" t="s">
        <v>887</v>
      </c>
    </row>
    <row r="4" ht="109.5" customHeight="1">
      <c r="A4" s="13">
        <v>10.0</v>
      </c>
      <c r="B4" s="13" t="s">
        <v>812</v>
      </c>
      <c r="C4" s="13" t="s">
        <v>45</v>
      </c>
      <c r="D4" s="13">
        <v>3.0</v>
      </c>
      <c r="E4" s="13" t="s">
        <v>888</v>
      </c>
      <c r="F4" s="13" t="s">
        <v>889</v>
      </c>
      <c r="G4" s="13" t="s">
        <v>877</v>
      </c>
      <c r="H4" s="13" t="s">
        <v>890</v>
      </c>
      <c r="I4" s="13" t="s">
        <v>891</v>
      </c>
      <c r="J4" s="13" t="s">
        <v>892</v>
      </c>
      <c r="K4" s="13" t="s">
        <v>880</v>
      </c>
      <c r="L4" s="13" t="s">
        <v>893</v>
      </c>
    </row>
    <row r="5" ht="109.5" customHeight="1">
      <c r="A5" s="13">
        <v>11.0</v>
      </c>
      <c r="B5" s="13" t="s">
        <v>838</v>
      </c>
      <c r="C5" s="13" t="s">
        <v>839</v>
      </c>
      <c r="D5" s="13">
        <v>1.0</v>
      </c>
      <c r="E5" s="13" t="s">
        <v>875</v>
      </c>
      <c r="F5" s="13" t="s">
        <v>894</v>
      </c>
      <c r="G5" s="13" t="s">
        <v>877</v>
      </c>
      <c r="H5" s="13" t="s">
        <v>895</v>
      </c>
      <c r="I5" s="13" t="s">
        <v>838</v>
      </c>
      <c r="J5" s="13" t="s">
        <v>896</v>
      </c>
      <c r="K5" s="13" t="s">
        <v>880</v>
      </c>
      <c r="L5" s="13" t="s">
        <v>897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printOptions/>
  <pageMargins bottom="1.0" footer="0.0" header="0.0" left="0.75" right="0.75" top="1.0"/>
  <pageSetup orientation="landscape"/>
  <drawing r:id="rId1"/>
</worksheet>
</file>