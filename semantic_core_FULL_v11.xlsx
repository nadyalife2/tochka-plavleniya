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w_data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competitors" sheetId="3" state="visible" r:id="rId3"/>
    <sheet xmlns:r="http://schemas.openxmlformats.org/officeDocument/2006/relationships" name="content_plan" sheetId="4" state="visible" r:id="rId4"/>
    <sheet xmlns:r="http://schemas.openxmlformats.org/officeDocument/2006/relationships" name="interlinking_map" sheetId="5" state="visible" r:id="rId5"/>
    <sheet xmlns:r="http://schemas.openxmlformats.org/officeDocument/2006/relationships" name="statiy" sheetId="6" state="visible" r:id="rId6"/>
    <sheet xmlns:r="http://schemas.openxmlformats.org/officeDocument/2006/relationships" name="briefs_ТЗ" sheetId="7" state="visible" r:id="rId7"/>
    <sheet xmlns:r="http://schemas.openxmlformats.org/officeDocument/2006/relationships" name="wp_export" sheetId="8" state="visible" r:id="rId8"/>
    <sheet xmlns:r="http://schemas.openxmlformats.org/officeDocument/2006/relationships" name="image_generation" sheetId="9" state="visible" r:id="rId9"/>
    <sheet xmlns:r="http://schemas.openxmlformats.org/officeDocument/2006/relationships" name="priority_scores" sheetId="10" state="visible" r:id="rId10"/>
    <sheet xmlns:r="http://schemas.openxmlformats.org/officeDocument/2006/relationships" name="topics_proposed" sheetId="11" state="visible" r:id="rId11"/>
    <sheet xmlns:r="http://schemas.openxmlformats.org/officeDocument/2006/relationships" name="competitors_propos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yyyy-mm-dd"/>
  </numFmts>
  <fonts count="7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color theme="1"/>
      <sz val="11"/>
      <u val="single"/>
    </font>
    <font>
      <name val="Calibri"/>
      <color theme="1"/>
      <u val="single"/>
    </font>
    <font>
      <name val="Calibri"/>
      <b val="1"/>
      <color rgb="FFFFFFFF"/>
      <sz val="10"/>
    </font>
    <font>
      <name val="Calibri"/>
      <color rgb="FF000000"/>
      <sz val="10"/>
    </font>
  </fonts>
  <fills count="8">
    <fill>
      <patternFill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2E4057"/>
        <bgColor rgb="FF2E4057"/>
      </patternFill>
    </fill>
    <fill>
      <patternFill patternType="solid">
        <fgColor rgb="FF7A3E65"/>
        <bgColor rgb="FF7A3E65"/>
      </patternFill>
    </fill>
    <fill>
      <patternFill patternType="solid">
        <fgColor rgb="FFFFFFFF"/>
        <bgColor rgb="FFFFFFFF"/>
      </patternFill>
    </fill>
    <fill>
      <patternFill patternType="solid">
        <fgColor rgb="FFE9F2FF"/>
        <bgColor rgb="FFE9F2FF"/>
      </patternFill>
    </fill>
    <fill>
      <patternFill patternType="solid">
        <fgColor rgb="00D9E1F2"/>
        <bgColor rgb="00D9E1F2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2" fillId="2" borderId="1" pivotButton="0" quotePrefix="0" xfId="0"/>
    <xf numFmtId="0" fontId="2" fillId="2" borderId="1" pivotButton="0" quotePrefix="0" xfId="0"/>
    <xf numFmtId="165" fontId="1" fillId="0" borderId="0" pivotButton="0" quotePrefix="0" xfId="0"/>
    <xf numFmtId="165" fontId="2" fillId="0" borderId="0" pivotButton="0" quotePrefix="0" xfId="0"/>
    <xf numFmtId="0" fontId="5" fillId="3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0" fillId="0" borderId="0" pivotButton="0" quotePrefix="0" xfId="0"/>
    <xf numFmtId="0" fontId="2" fillId="7" borderId="1" pivotButton="0" quotePrefix="0" xfId="0"/>
    <xf numFmtId="0" fontId="2" fillId="7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mobile-shrek.com.ua/ru/blog/kak-payat-smd-komponenty.html" TargetMode="External" Id="rId1"/><Relationship Type="http://schemas.openxmlformats.org/officeDocument/2006/relationships/hyperlink" Target="http://mobile-shrek.com.ua" TargetMode="External" Id="rId2"/><Relationship Type="http://schemas.openxmlformats.org/officeDocument/2006/relationships/hyperlink" Target="http://mobile-shrek.com.ua/ru/blog/kak-payat-v-domashnih-usloviyah-bezopasno-i-pravilno.html" TargetMode="External" Id="rId3"/><Relationship Type="http://schemas.openxmlformats.org/officeDocument/2006/relationships/hyperlink" Target="http://mobile-shrek.com.ua" TargetMode="External" Id="rId4"/><Relationship Type="http://schemas.openxmlformats.org/officeDocument/2006/relationships/hyperlink" Target="http://mobile-shrek.com.ua/ru/blog/pochemu-payalnik-ploho-nagrevaetsya-i-chto-s-ehtim-delat.html" TargetMode="External" Id="rId5"/><Relationship Type="http://schemas.openxmlformats.org/officeDocument/2006/relationships/hyperlink" Target="http://mobile-shrek.com.ua" TargetMode="External" Id="rId6"/><Relationship Type="http://schemas.openxmlformats.org/officeDocument/2006/relationships/hyperlink" Target="http://mobile-shrek.com.ua/ru/blog/kak-pripayat-naushniki-k-shtekeru-chto-nuzhno-i-kak-izbezhat-oshibok.html" TargetMode="External" Id="rId7"/><Relationship Type="http://schemas.openxmlformats.org/officeDocument/2006/relationships/hyperlink" Target="http://mobile-shrek.com.ua" TargetMode="External" Id="rId8"/><Relationship Type="http://schemas.openxmlformats.org/officeDocument/2006/relationships/hyperlink" Target="http://mobile-shrek.com.ua/ru/blog/yntegryrovannye-zhala-t12-chto-nuzhno-znat-o-samom-udobnom-formate-pajky.html" TargetMode="External" Id="rId9"/><Relationship Type="http://schemas.openxmlformats.org/officeDocument/2006/relationships/hyperlink" Target="http://mobile-shrek.com.ua" TargetMode="External" Id="rId10"/><Relationship Type="http://schemas.openxmlformats.org/officeDocument/2006/relationships/hyperlink" Target="http://mobile-shrek.com.ua/ru/blog/kak-proshit-ts101-oficialnoj-proshivkoj-ili-ironos.html" TargetMode="External" Id="rId11"/><Relationship Type="http://schemas.openxmlformats.org/officeDocument/2006/relationships/hyperlink" Target="http://mobile-shrek.com.ua" TargetMode="External" Id="rId12"/><Relationship Type="http://schemas.openxmlformats.org/officeDocument/2006/relationships/hyperlink" Target="http://mobile-shrek.com.ua/ru/blog/handskit-t12d-optymalnyj-varyant-dlya-masterov.html" TargetMode="External" Id="rId13"/><Relationship Type="http://schemas.openxmlformats.org/officeDocument/2006/relationships/hyperlink" Target="http://mobile-shrek.com.ua" TargetMode="External" Id="rId14"/><Relationship Type="http://schemas.openxmlformats.org/officeDocument/2006/relationships/hyperlink" Target="http://mobile-shrek.com.ua/ru/blog/detalnyj-analyz-payalnoj-stantsyy-oss-t210-s-zhalom-jbc-c210-75w.html" TargetMode="External" Id="rId15"/><Relationship Type="http://schemas.openxmlformats.org/officeDocument/2006/relationships/hyperlink" Target="http://mobile-shrek.com.ua" TargetMode="External" Id="rId16"/><Relationship Type="http://schemas.openxmlformats.org/officeDocument/2006/relationships/hyperlink" Target="http://electronix.ru/forum/forum/38-payka-i-montazh/" TargetMode="External" Id="rId17"/><Relationship Type="http://schemas.openxmlformats.org/officeDocument/2006/relationships/hyperlink" Target="http://electronix.ru" TargetMode="External" Id="rId18"/><Relationship Type="http://schemas.openxmlformats.org/officeDocument/2006/relationships/hyperlink" Target="http://electronix.ru/forum/topic/61374-posovetuyte-kachestvennyy-flyus-dlya-payki-smd/" TargetMode="External" Id="rId19"/><Relationship Type="http://schemas.openxmlformats.org/officeDocument/2006/relationships/hyperlink" Target="http://electronix.ru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http://mobile-shrek.com.ua" TargetMode="External" Id="rId1"/><Relationship Type="http://schemas.openxmlformats.org/officeDocument/2006/relationships/hyperlink" Target="https://mobile-shrek.com.ua/ru/blog/payalniky" TargetMode="External" Id="rId2"/><Relationship Type="http://schemas.openxmlformats.org/officeDocument/2006/relationships/hyperlink" Target="http://electronix.ru" TargetMode="External" Id="rId3"/><Relationship Type="http://schemas.openxmlformats.org/officeDocument/2006/relationships/hyperlink" Target="https://electronix.ru/forum/forum/38-payka-i-montazh/" TargetMode="External" Id="rId4"/><Relationship Type="http://schemas.openxmlformats.org/officeDocument/2006/relationships/hyperlink" Target="http://pcbasic.co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7" min="1" max="1"/>
    <col width="41.29" customWidth="1" style="17" min="2" max="2"/>
    <col width="8.710000000000001" customWidth="1" style="17" min="3" max="6"/>
    <col width="49" customWidth="1" style="17" min="7" max="7"/>
    <col width="8.710000000000001" customWidth="1" style="17" min="8" max="9"/>
  </cols>
  <sheetData>
    <row r="1">
      <c r="A1" s="2" t="inlineStr">
        <is>
          <t>url</t>
        </is>
      </c>
      <c r="B1" s="2" t="inlineStr">
        <is>
          <t>title</t>
        </is>
      </c>
      <c r="C1" s="2" t="inlineStr">
        <is>
          <t>h1</t>
        </is>
      </c>
      <c r="D1" s="2" t="inlineStr">
        <is>
          <t>date</t>
        </is>
      </c>
      <c r="E1" s="2" t="inlineStr">
        <is>
          <t>source</t>
        </is>
      </c>
      <c r="F1" s="2" t="inlineStr">
        <is>
          <t>content_type</t>
        </is>
      </c>
      <c r="G1" s="2" t="inlineStr">
        <is>
          <t>cluster</t>
        </is>
      </c>
      <c r="H1" s="2" t="inlineStr">
        <is>
          <t>priority</t>
        </is>
      </c>
      <c r="I1" s="2" t="inlineStr">
        <is>
          <t>status</t>
        </is>
      </c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>
        <f>IFERROR(MATCH(6, 'briefs_ТЗ'!A:A, 0), IFERROR(MATCH("6.0", 'briefs_ТЗ'!A:A, 0), -1))</f>
        <v/>
      </c>
    </row>
    <row r="2">
      <c r="A2" s="2" t="inlineStr">
        <is>
          <t>https://solderpoint.ru/blog/kak-vyibrat-proizvoditelya-pechatnyix-plat-dlya-promyishlennogo-proekta</t>
        </is>
      </c>
      <c r="B2" s="2" t="inlineStr">
        <is>
          <t>Как выбрать производителя печатных плат для промышленного проекта</t>
        </is>
      </c>
      <c r="C2" s="2" t="inlineStr">
        <is>
          <t>Как выбрать производителя печатных плат для промышленного проекта</t>
        </is>
      </c>
      <c r="D2" s="2" t="inlineStr">
        <is>
          <t>30-05-2026</t>
        </is>
      </c>
      <c r="E2" s="2" t="inlineStr">
        <is>
          <t>solderpoint.ru</t>
        </is>
      </c>
      <c r="F2" s="2" t="inlineStr">
        <is>
          <t>гайд / выбор</t>
        </is>
      </c>
      <c r="G2" s="2" t="inlineStr">
        <is>
          <t>Производство / Поставщики</t>
        </is>
      </c>
      <c r="H2" s="2" t="inlineStr">
        <is>
          <t>средний</t>
        </is>
      </c>
      <c r="I2" s="2" t="inlineStr">
        <is>
          <t>собрано</t>
        </is>
      </c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>
        <f>IFERROR(MATCH(6, content_plan!A:A, 0), IFERROR(MATCH("6", content_plan!A:A, 0), -1))</f>
        <v/>
      </c>
    </row>
    <row r="3">
      <c r="A3" s="2" t="inlineStr">
        <is>
          <t>https://solderpoint.ru/blog/chto-takoe-bga-komponentyi-i-pochemu-ix-montazh-slozhnee</t>
        </is>
      </c>
      <c r="B3" s="2" t="inlineStr">
        <is>
          <t>Что такое BGA компоненты и почему их монтаж сложнее</t>
        </is>
      </c>
      <c r="C3" s="2" t="inlineStr">
        <is>
          <t>Что такое BGA компоненты и почему их монтаж сложнее</t>
        </is>
      </c>
      <c r="D3" s="2" t="inlineStr">
        <is>
          <t>28-05-2026</t>
        </is>
      </c>
      <c r="E3" s="2" t="inlineStr">
        <is>
          <t>solderpoint.ru</t>
        </is>
      </c>
      <c r="F3" s="2" t="inlineStr">
        <is>
          <t>обучающий / что такое</t>
        </is>
      </c>
      <c r="G3" s="2" t="inlineStr">
        <is>
          <t>Типы компонентов / BGA</t>
        </is>
      </c>
      <c r="H3" s="2" t="inlineStr">
        <is>
          <t>средний</t>
        </is>
      </c>
      <c r="I3" s="2" t="inlineStr">
        <is>
          <t>собрано</t>
        </is>
      </c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2" t="inlineStr">
        <is>
          <t>https://solderpoint.ru/blog/kak-sokratit-sroki-proizvodstva-i-sborki-pechatnyix-plat</t>
        </is>
      </c>
      <c r="B4" s="2" t="inlineStr">
        <is>
          <t>Как сократить сроки производства и сборки печатных плат</t>
        </is>
      </c>
      <c r="C4" s="2" t="inlineStr">
        <is>
          <t>Как сократить сроки производства и сборки печатных плат</t>
        </is>
      </c>
      <c r="D4" s="2" t="inlineStr">
        <is>
          <t>27-05-2026</t>
        </is>
      </c>
      <c r="E4" s="2" t="inlineStr">
        <is>
          <t>solderpoint.ru</t>
        </is>
      </c>
      <c r="F4" s="2" t="inlineStr">
        <is>
          <t>гайд / советы</t>
        </is>
      </c>
      <c r="G4" s="2" t="inlineStr">
        <is>
          <t>Производство / Сроки</t>
        </is>
      </c>
      <c r="H4" s="2" t="inlineStr">
        <is>
          <t>низкий</t>
        </is>
      </c>
      <c r="I4" s="2" t="inlineStr">
        <is>
          <t>собрано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2" t="inlineStr">
        <is>
          <t>https://solderpoint.ru/blog/chem-otlichaetsya-prototipirovanie-ot-serijnogo-proizvodstva-elektroniki</t>
        </is>
      </c>
      <c r="B5" s="2" t="inlineStr">
        <is>
          <t>Чем отличается прототипирование от серийного производства электроники</t>
        </is>
      </c>
      <c r="C5" s="2" t="inlineStr">
        <is>
          <t>Чем отличается прототипирование от серийного производства</t>
        </is>
      </c>
      <c r="D5" s="2" t="inlineStr">
        <is>
          <t>25-05-2026</t>
        </is>
      </c>
      <c r="E5" s="2" t="inlineStr">
        <is>
          <t>solderpoint.ru</t>
        </is>
      </c>
      <c r="F5" s="2" t="inlineStr">
        <is>
          <t>сравнение</t>
        </is>
      </c>
      <c r="G5" s="2" t="inlineStr">
        <is>
          <t>Производство / Прототипы</t>
        </is>
      </c>
      <c r="H5" s="2" t="inlineStr">
        <is>
          <t>средний</t>
        </is>
      </c>
      <c r="I5" s="2" t="inlineStr">
        <is>
          <t>собрано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2" t="inlineStr">
        <is>
          <t>https://solderpoint.ru/blog/tipovyie-oshibki-pri-proektirovanii-pechatnyix-plat</t>
        </is>
      </c>
      <c r="B6" s="2" t="inlineStr">
        <is>
          <t>Типовые ошибки при проектировании печатных плат под производство</t>
        </is>
      </c>
      <c r="C6" s="2" t="inlineStr">
        <is>
          <t>Типовые ошибки при проектировании печатных плат</t>
        </is>
      </c>
      <c r="D6" s="2" t="inlineStr">
        <is>
          <t>21-05-2026</t>
        </is>
      </c>
      <c r="E6" s="2" t="inlineStr">
        <is>
          <t>solderpoint.ru</t>
        </is>
      </c>
      <c r="F6" s="2" t="inlineStr">
        <is>
          <t>ошибки / топ N</t>
        </is>
      </c>
      <c r="G6" s="2" t="inlineStr">
        <is>
          <t>Ошибки / Проектирование</t>
        </is>
      </c>
      <c r="H6" s="2" t="inlineStr">
        <is>
          <t>высокий</t>
        </is>
      </c>
      <c r="I6" s="2" t="inlineStr">
        <is>
          <t>собрано</t>
        </is>
      </c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2" t="inlineStr">
        <is>
          <t>https://solderpoint.ru/blog/chto-vliyaet-na-stoimost-montazha-pechatnyix-plat</t>
        </is>
      </c>
      <c r="B7" s="2" t="inlineStr">
        <is>
          <t>Что влияет на стоимость монтажа печатных плат</t>
        </is>
      </c>
      <c r="C7" s="2" t="inlineStr">
        <is>
          <t>Что влияет на стоимость монтажа печатных плат</t>
        </is>
      </c>
      <c r="D7" s="2" t="inlineStr">
        <is>
          <t>18-05-2026</t>
        </is>
      </c>
      <c r="E7" s="2" t="inlineStr">
        <is>
          <t>solderpoint.ru</t>
        </is>
      </c>
      <c r="F7" s="2" t="inlineStr">
        <is>
          <t>обучающий / факторы</t>
        </is>
      </c>
      <c r="G7" s="2" t="inlineStr">
        <is>
          <t>Производство / Стоимость</t>
        </is>
      </c>
      <c r="H7" s="2" t="inlineStr">
        <is>
          <t>средний</t>
        </is>
      </c>
      <c r="I7" s="2" t="inlineStr">
        <is>
          <t>собрано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2" t="inlineStr">
        <is>
          <t>https://solderpoint.ru/blog/kogda-nuzhen-ruchnoj-smd-montazh</t>
        </is>
      </c>
      <c r="B8" s="2" t="inlineStr">
        <is>
          <t>Когда нужен ручной SMD монтаж, а когда автоматический</t>
        </is>
      </c>
      <c r="C8" s="2" t="inlineStr">
        <is>
          <t>Когда нужен ручной SMD монтаж, а когда автоматический</t>
        </is>
      </c>
      <c r="D8" s="2" t="inlineStr">
        <is>
          <t>12-05-2026</t>
        </is>
      </c>
      <c r="E8" s="2" t="inlineStr">
        <is>
          <t>solderpoint.ru</t>
        </is>
      </c>
      <c r="F8" s="2" t="inlineStr">
        <is>
          <t>сравнение / выбор</t>
        </is>
      </c>
      <c r="G8" s="2" t="inlineStr">
        <is>
          <t>Типы монтажа / SMD</t>
        </is>
      </c>
      <c r="H8" s="2" t="inlineStr">
        <is>
          <t>высокий</t>
        </is>
      </c>
      <c r="I8" s="2" t="inlineStr">
        <is>
          <t>собрано</t>
        </is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2" t="inlineStr">
        <is>
          <t>https://solderpoint.ru/blog/kak-vyibrat-mezhdu-smd-i-dip-montazhom</t>
        </is>
      </c>
      <c r="B9" s="2" t="inlineStr">
        <is>
          <t>Как выбрать между SMD и DIP монтажом</t>
        </is>
      </c>
      <c r="C9" s="2" t="inlineStr">
        <is>
          <t>Как выбрать между SMD и DIP монтажом</t>
        </is>
      </c>
      <c r="D9" s="2" t="inlineStr">
        <is>
          <t>08-05-2026</t>
        </is>
      </c>
      <c r="E9" s="2" t="inlineStr">
        <is>
          <t>solderpoint.ru</t>
        </is>
      </c>
      <c r="F9" s="2" t="inlineStr">
        <is>
          <t>сравнение / выбор</t>
        </is>
      </c>
      <c r="G9" s="2" t="inlineStr">
        <is>
          <t>Типы монтажа / SMD vs DIP</t>
        </is>
      </c>
      <c r="H9" s="2" t="inlineStr">
        <is>
          <t>высокий</t>
        </is>
      </c>
      <c r="I9" s="2" t="inlineStr">
        <is>
          <t>собрано</t>
        </is>
      </c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2" t="inlineStr">
        <is>
          <t>https://solderpoint.ru/blog/chto-takoe-bom-fajl-i-zachem-on-nuzhen-pri-sborke-plat</t>
        </is>
      </c>
      <c r="B10" s="2" t="inlineStr">
        <is>
          <t>Что такое BOM файл и зачем он нужен при сборке плат</t>
        </is>
      </c>
      <c r="C10" s="2" t="inlineStr">
        <is>
          <t>Что такое BOM файл и зачем он нужен при сборке плат</t>
        </is>
      </c>
      <c r="D10" s="2" t="inlineStr">
        <is>
          <t>05-05-2026</t>
        </is>
      </c>
      <c r="E10" s="2" t="inlineStr">
        <is>
          <t>solderpoint.ru</t>
        </is>
      </c>
      <c r="F10" s="2" t="inlineStr">
        <is>
          <t>обучающий / что такое</t>
        </is>
      </c>
      <c r="G10" s="2" t="inlineStr">
        <is>
          <t>Производство / Документация</t>
        </is>
      </c>
      <c r="H10" s="2" t="inlineStr">
        <is>
          <t>средний</t>
        </is>
      </c>
      <c r="I10" s="2" t="inlineStr">
        <is>
          <t>собрано</t>
        </is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" t="inlineStr">
        <is>
          <t>https://solderpoint.ru/blog/kak-podgotovit-gerber-fajlyi-dlya-montazha-pechatnyix-plat</t>
        </is>
      </c>
      <c r="B11" s="2" t="inlineStr">
        <is>
          <t>Как подготовить Gerber файлы для монтажа печатных плат</t>
        </is>
      </c>
      <c r="C11" s="2" t="inlineStr">
        <is>
          <t>Как подготовить Gerber файлы для монтажа печатных плат</t>
        </is>
      </c>
      <c r="D11" s="2" t="inlineStr">
        <is>
          <t>01-05-2026</t>
        </is>
      </c>
      <c r="E11" s="2" t="inlineStr">
        <is>
          <t>solderpoint.ru</t>
        </is>
      </c>
      <c r="F11" s="2" t="inlineStr">
        <is>
          <t>инструкция / как</t>
        </is>
      </c>
      <c r="G11" s="2" t="inlineStr">
        <is>
          <t>Производство / Документация</t>
        </is>
      </c>
      <c r="H11" s="2" t="inlineStr">
        <is>
          <t>средний</t>
        </is>
      </c>
      <c r="I11" s="2" t="inlineStr">
        <is>
          <t>собрано</t>
        </is>
      </c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2" t="inlineStr">
        <is>
          <t>https://solderpoint.ru/blog/montazh-alyuminievyh-plat-preimushestva</t>
        </is>
      </c>
      <c r="B12" s="2" t="inlineStr">
        <is>
          <t>Монтаж алюминиевых плат</t>
        </is>
      </c>
      <c r="C12" s="2" t="inlineStr">
        <is>
          <t>Монтаж алюминиевых плат</t>
        </is>
      </c>
      <c r="D12" s="2" t="inlineStr">
        <is>
          <t>29-04-2026</t>
        </is>
      </c>
      <c r="E12" s="2" t="inlineStr">
        <is>
          <t>solderpoint.ru</t>
        </is>
      </c>
      <c r="F12" s="2" t="inlineStr">
        <is>
          <t>обучающий</t>
        </is>
      </c>
      <c r="G12" s="2" t="inlineStr">
        <is>
          <t>Типы плат / Алюминиевые</t>
        </is>
      </c>
      <c r="H12" s="2" t="inlineStr">
        <is>
          <t>низкий</t>
        </is>
      </c>
      <c r="I12" s="2" t="inlineStr">
        <is>
          <t>собрано</t>
        </is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2" t="inlineStr">
        <is>
          <t>https://solderpoint.ru/blog/montazh-dvustoronnih-plat</t>
        </is>
      </c>
      <c r="B13" s="2" t="inlineStr">
        <is>
          <t>Монтаж двусторонних плат</t>
        </is>
      </c>
      <c r="C13" s="2" t="inlineStr">
        <is>
          <t>Монтаж двусторонних плат</t>
        </is>
      </c>
      <c r="D13" s="2" t="inlineStr">
        <is>
          <t>28-04-2026</t>
        </is>
      </c>
      <c r="E13" s="2" t="inlineStr">
        <is>
          <t>solderpoint.ru</t>
        </is>
      </c>
      <c r="F13" s="2" t="inlineStr">
        <is>
          <t>обучающий</t>
        </is>
      </c>
      <c r="G13" s="2" t="inlineStr">
        <is>
          <t>Типы плат / Двусторонние</t>
        </is>
      </c>
      <c r="H13" s="2" t="inlineStr">
        <is>
          <t>низкий</t>
        </is>
      </c>
      <c r="I13" s="2" t="inlineStr">
        <is>
          <t>собрано</t>
        </is>
      </c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2" t="inlineStr">
        <is>
          <t>https://club.dns-shop.ru/blog/t-375-payalnyie-instrumentyi/90493-kak-pravilno-payat-rukovodstvo-dlya-nachinauschih/</t>
        </is>
      </c>
      <c r="B14" s="2" t="inlineStr">
        <is>
          <t>Как правильно паять: руководство для начинающих</t>
        </is>
      </c>
      <c r="C14" s="2" t="inlineStr">
        <is>
          <t>Как правильно паять</t>
        </is>
      </c>
      <c r="D14" s="2" t="inlineStr">
        <is>
          <t>12-03-2023</t>
        </is>
      </c>
      <c r="E14" s="2" t="inlineStr">
        <is>
          <t>dns-shop.ru</t>
        </is>
      </c>
      <c r="F14" s="2" t="inlineStr">
        <is>
          <t>гайд для новичков</t>
        </is>
      </c>
      <c r="G14" s="2" t="inlineStr">
        <is>
          <t>Основы пайки / Как паять</t>
        </is>
      </c>
      <c r="H14" s="2" t="inlineStr">
        <is>
          <t>высокий</t>
        </is>
      </c>
      <c r="I14" s="2" t="inlineStr">
        <is>
          <t>собрано</t>
        </is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2" t="inlineStr">
        <is>
          <t>https://www.vseinstrumenti.ru/publication/kak-nauchitsya-payat-payalnikom-pravilnaya-tehnika-dlya-nachinayuschih-2846/</t>
        </is>
      </c>
      <c r="B15" s="2" t="inlineStr">
        <is>
          <t>Как научиться паять паяльником: правильная техника для начинающих</t>
        </is>
      </c>
      <c r="C15" s="2" t="inlineStr">
        <is>
          <t>Как научиться паять паяльником</t>
        </is>
      </c>
      <c r="D15" s="2" t="inlineStr">
        <is>
          <t>18-07-2023</t>
        </is>
      </c>
      <c r="E15" s="2" t="inlineStr">
        <is>
          <t>vseinstrumenti.ru</t>
        </is>
      </c>
      <c r="F15" s="2" t="inlineStr">
        <is>
          <t>гайд для новичков</t>
        </is>
      </c>
      <c r="G15" s="2" t="inlineStr">
        <is>
          <t>Основы пайки / Как паять</t>
        </is>
      </c>
      <c r="H15" s="2" t="inlineStr">
        <is>
          <t>высокий</t>
        </is>
      </c>
      <c r="I15" s="2" t="inlineStr">
        <is>
          <t>собрано</t>
        </is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2" t="inlineStr">
        <is>
          <t>https://habr.com/ru/articles/148656/</t>
        </is>
      </c>
      <c r="B16" s="2" t="inlineStr">
        <is>
          <t>Пайка для начинающих</t>
        </is>
      </c>
      <c r="C16" s="2" t="inlineStr">
        <is>
          <t>Пайка для начинающих</t>
        </is>
      </c>
      <c r="D16" s="2" t="inlineStr">
        <is>
          <t>13-05-2026</t>
        </is>
      </c>
      <c r="E16" s="2" t="inlineStr">
        <is>
          <t>habr.com</t>
        </is>
      </c>
      <c r="F16" s="2" t="inlineStr">
        <is>
          <t>экспертный лонгрид</t>
        </is>
      </c>
      <c r="G16" s="2" t="inlineStr">
        <is>
          <t>Основы пайки / Начинающим</t>
        </is>
      </c>
      <c r="H16" s="2" t="inlineStr">
        <is>
          <t>высокий</t>
        </is>
      </c>
      <c r="I16" s="2" t="inlineStr">
        <is>
          <t>собрано</t>
        </is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2" t="inlineStr">
        <is>
          <t>https://xakep.ru/2022/08/17/soldering-art/</t>
        </is>
      </c>
      <c r="B17" s="2" t="inlineStr">
        <is>
          <t>Искусство пайки. Выбираем инструменты, приборы и материалы</t>
        </is>
      </c>
      <c r="C17" s="2" t="inlineStr">
        <is>
          <t>Искусство пайки</t>
        </is>
      </c>
      <c r="D17" s="2" t="inlineStr">
        <is>
          <t>17-08-2022</t>
        </is>
      </c>
      <c r="E17" s="2" t="inlineStr">
        <is>
          <t>xakep.ru</t>
        </is>
      </c>
      <c r="F17" s="2" t="inlineStr">
        <is>
          <t>обзор / выбор инструментов</t>
        </is>
      </c>
      <c r="G17" s="2" t="inlineStr">
        <is>
          <t>Инструменты / Выбор паяльника</t>
        </is>
      </c>
      <c r="H17" s="2" t="inlineStr">
        <is>
          <t>высокий</t>
        </is>
      </c>
      <c r="I17" s="2" t="inlineStr">
        <is>
          <t>собрано</t>
        </is>
      </c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2" t="inlineStr">
        <is>
          <t>https://t-j.ru/best-soldering-irons/</t>
        </is>
      </c>
      <c r="B18" s="2" t="inlineStr">
        <is>
          <t>Лучшие паяльники в 2026 году: рейтинг моделей</t>
        </is>
      </c>
      <c r="C18" s="2" t="inlineStr">
        <is>
          <t>Лучшие паяльники в 2026 году</t>
        </is>
      </c>
      <c r="D18" s="2" t="inlineStr">
        <is>
          <t>11-02-2025</t>
        </is>
      </c>
      <c r="E18" s="2" t="inlineStr">
        <is>
          <t>t-j.ru</t>
        </is>
      </c>
      <c r="F18" s="2" t="inlineStr">
        <is>
          <t>рейтинг / buyer's guide</t>
        </is>
      </c>
      <c r="G18" s="2" t="inlineStr">
        <is>
          <t>Инструменты / Рейтинг паяльников</t>
        </is>
      </c>
      <c r="H18" s="2" t="inlineStr">
        <is>
          <t>высокий</t>
        </is>
      </c>
      <c r="I18" s="2" t="inlineStr">
        <is>
          <t>собрано</t>
        </is>
      </c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2" t="inlineStr">
        <is>
          <t>https://www.youtube.com/watch?v=h9RTe8-vmxo</t>
        </is>
      </c>
      <c r="B19" s="2" t="inlineStr">
        <is>
          <t>Как паять? Большой урок по пайке электроники</t>
        </is>
      </c>
      <c r="C19" s="2" t="inlineStr">
        <is>
          <t>Как паять? Большой урок по пайке электроники</t>
        </is>
      </c>
      <c r="D19" s="2" t="inlineStr">
        <is>
          <t>04-11-2024</t>
        </is>
      </c>
      <c r="E19" s="2" t="inlineStr">
        <is>
          <t>youtube.com / AlexGyver</t>
        </is>
      </c>
      <c r="F19" s="2" t="inlineStr">
        <is>
          <t>видео-урок</t>
        </is>
      </c>
      <c r="G19" s="2" t="inlineStr">
        <is>
          <t>Основы пайки / Как паять</t>
        </is>
      </c>
      <c r="H19" s="2" t="inlineStr">
        <is>
          <t>высокий</t>
        </is>
      </c>
      <c r="I19" s="2" t="inlineStr">
        <is>
          <t>собрано</t>
        </is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2" t="inlineStr">
        <is>
          <t>https://alexgyver.ru/all-for-soldering/</t>
        </is>
      </c>
      <c r="B20" s="2" t="inlineStr">
        <is>
          <t>Всё для пайки — подборка AlexGyver</t>
        </is>
      </c>
      <c r="C20" s="2" t="inlineStr">
        <is>
          <t>Всё для пайки</t>
        </is>
      </c>
      <c r="D20" s="2" t="inlineStr">
        <is>
          <t>2024</t>
        </is>
      </c>
      <c r="E20" s="2" t="inlineStr">
        <is>
          <t>alexgyver.ru</t>
        </is>
      </c>
      <c r="F20" s="2" t="inlineStr">
        <is>
          <t>подборка / buyer's guide</t>
        </is>
      </c>
      <c r="G20" s="2" t="inlineStr">
        <is>
          <t>Инструменты / Выбор паяльника</t>
        </is>
      </c>
      <c r="H20" s="2" t="inlineStr">
        <is>
          <t>высокий</t>
        </is>
      </c>
      <c r="I20" s="2" t="inlineStr">
        <is>
          <t>собрано</t>
        </is>
      </c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7">
      <c r="A21" s="2" t="inlineStr">
        <is>
          <t>https://www.sea.com.ua/ua/payalnoe-oborudovanie-i-instrument/news/kak-naucitsa-paat-s-cego-nacat-i-kakie-instrumenty-nuzny/</t>
        </is>
      </c>
      <c r="B21" s="2" t="inlineStr">
        <is>
          <t>Как научиться паять: с чего начать и какие инструменты нужны</t>
        </is>
      </c>
      <c r="C21" s="2" t="inlineStr">
        <is>
          <t>Как навчитися паяти: з чого почати та які інструменти потрібні</t>
        </is>
      </c>
      <c r="D21" s="2" t="inlineStr">
        <is>
          <t>16-06-2025</t>
        </is>
      </c>
      <c r="E21" s="2" t="inlineStr">
        <is>
          <t>sea.com.ua</t>
        </is>
      </c>
      <c r="F21" s="2" t="inlineStr">
        <is>
          <t>гайд для новичков</t>
        </is>
      </c>
      <c r="G21" s="2" t="inlineStr">
        <is>
          <t>Основы пайки / Как паять</t>
        </is>
      </c>
      <c r="H21" s="2" t="inlineStr">
        <is>
          <t>высокий</t>
        </is>
      </c>
      <c r="I21" s="2" t="inlineStr">
        <is>
          <t>собрано</t>
        </is>
      </c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7">
      <c r="A22" s="2" t="inlineStr">
        <is>
          <t>https://lemanapro.ru/advice/instrumenty/kak-pravilno-payat-payalnikom-v-domashnih-usloviyah/</t>
        </is>
      </c>
      <c r="B22" s="2" t="inlineStr">
        <is>
          <t>Как правильно паять паяльником в домашних условиях</t>
        </is>
      </c>
      <c r="C22" s="2" t="inlineStr">
        <is>
          <t>Как правильно паять паяльником в домашних условиях</t>
        </is>
      </c>
      <c r="D22" s="2" t="inlineStr">
        <is>
          <t>2024</t>
        </is>
      </c>
      <c r="E22" s="2" t="inlineStr">
        <is>
          <t>lemanapro.ru</t>
        </is>
      </c>
      <c r="F22" s="2" t="inlineStr">
        <is>
          <t>гайд / инструкция</t>
        </is>
      </c>
      <c r="G22" s="2" t="inlineStr">
        <is>
          <t>Основы пайки / Как паять</t>
        </is>
      </c>
      <c r="H22" s="2" t="inlineStr">
        <is>
          <t>средний</t>
        </is>
      </c>
      <c r="I22" s="2" t="inlineStr">
        <is>
          <t>требует проверки</t>
        </is>
      </c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7">
      <c r="A23" s="2" t="inlineStr">
        <is>
          <t>https://www.youtube.com/watch?v=9rxSOe1djxg</t>
        </is>
      </c>
      <c r="B23" s="2" t="inlineStr">
        <is>
          <t>Замена разъёма Type-C на Samsung: обучающее видео</t>
        </is>
      </c>
      <c r="C23" s="2" t="inlineStr">
        <is>
          <t>Обучающее видео пайке — замена разъема type-c</t>
        </is>
      </c>
      <c r="D23" s="2" t="inlineStr">
        <is>
          <t>02-02-2024</t>
        </is>
      </c>
      <c r="E23" s="2" t="inlineStr">
        <is>
          <t>youtube.com / Паялыч</t>
        </is>
      </c>
      <c r="F23" s="2" t="inlineStr">
        <is>
          <t>видео-инструкция</t>
        </is>
      </c>
      <c r="G23" s="2" t="inlineStr">
        <is>
          <t>Ремонт электроники</t>
        </is>
      </c>
      <c r="H23" s="2" t="inlineStr">
        <is>
          <t>🔴 Высокий</t>
        </is>
      </c>
      <c r="I23" s="2" t="inlineStr">
        <is>
          <t>собрано</t>
        </is>
      </c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7">
      <c r="A24" s="2" t="inlineStr">
        <is>
          <t>https://ruselectronic.com/zamena-sistemnogo-razema-samsung-x-480/</t>
        </is>
      </c>
      <c r="B24" s="2" t="inlineStr">
        <is>
          <t>Замена разъёма зарядки телефона пошагово</t>
        </is>
      </c>
      <c r="C24" s="2" t="inlineStr">
        <is>
          <t>Замена системного разъема Samsung X-480</t>
        </is>
      </c>
      <c r="D24" s="2" t="inlineStr">
        <is>
          <t>19-08-2013 (обновл. 2019)</t>
        </is>
      </c>
      <c r="E24" s="2" t="inlineStr">
        <is>
          <t>ruselectronic.com</t>
        </is>
      </c>
      <c r="F24" s="2" t="inlineStr">
        <is>
          <t>инструкция / пошаговый гайд</t>
        </is>
      </c>
      <c r="G24" s="2" t="inlineStr">
        <is>
          <t>Ремонт электроники</t>
        </is>
      </c>
      <c r="H24" s="2" t="inlineStr">
        <is>
          <t>🔴 Высокий</t>
        </is>
      </c>
      <c r="I24" s="2" t="inlineStr">
        <is>
          <t>собрано</t>
        </is>
      </c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7">
      <c r="A25" s="2" t="inlineStr">
        <is>
          <t>https://www.youtube.com/watch?v=20OXwrwOlm8</t>
        </is>
      </c>
      <c r="B25" s="2" t="inlineStr">
        <is>
          <t>Ремонт гнезда зарядки телефона в домашних условиях</t>
        </is>
      </c>
      <c r="C25" s="2" t="inlineStr">
        <is>
          <t>Ремонт гнезда зарядки на телефоне в домашних условиях</t>
        </is>
      </c>
      <c r="D25" s="2" t="inlineStr">
        <is>
          <t>18-03-2018</t>
        </is>
      </c>
      <c r="E25" s="2" t="inlineStr">
        <is>
          <t>youtube.com / Galactic Express</t>
        </is>
      </c>
      <c r="F25" s="2" t="inlineStr">
        <is>
          <t>видео-инструкция</t>
        </is>
      </c>
      <c r="G25" s="2" t="inlineStr">
        <is>
          <t>Ремонт электроники</t>
        </is>
      </c>
      <c r="H25" s="2" t="inlineStr">
        <is>
          <t>🟡 Средний</t>
        </is>
      </c>
      <c r="I25" s="2" t="inlineStr">
        <is>
          <t>собрано</t>
        </is>
      </c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7">
      <c r="A26" s="2" t="inlineStr">
        <is>
          <t>https://xakep.ru/2022/08/17/soldering-art/</t>
        </is>
      </c>
      <c r="B26" s="2" t="inlineStr">
        <is>
          <t>Жало паяльника: типы и уход (раздел из обзора)</t>
        </is>
      </c>
      <c r="C26" s="2" t="inlineStr">
        <is>
          <t>Искусство пайки — жала паяльника</t>
        </is>
      </c>
      <c r="D26" s="2" t="inlineStr">
        <is>
          <t>17-08-2022</t>
        </is>
      </c>
      <c r="E26" s="2" t="inlineStr">
        <is>
          <t>xakep.ru</t>
        </is>
      </c>
      <c r="F26" s="2" t="inlineStr">
        <is>
          <t>обзор</t>
        </is>
      </c>
      <c r="G26" s="2" t="inlineStr">
        <is>
          <t>Инструменты / Жала</t>
        </is>
      </c>
      <c r="H26" s="2" t="inlineStr">
        <is>
          <t>🟡 Средний</t>
        </is>
      </c>
      <c r="I26" s="2" t="inlineStr">
        <is>
          <t>требует доп. проверки</t>
        </is>
      </c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7">
      <c r="A27" s="2" t="inlineStr">
        <is>
          <t>https://lemanapro.ru/advice/instrumenty/kak-pravilno-payat-payalnikom-v-domashnih-usloviyah/</t>
        </is>
      </c>
      <c r="B27" s="2" t="inlineStr">
        <is>
          <t>Техника безопасности при пайке паяльником дома</t>
        </is>
      </c>
      <c r="C27" s="2" t="inlineStr">
        <is>
          <t>Как правильно паять паяльником в домашних условиях</t>
        </is>
      </c>
      <c r="D27" s="2" t="inlineStr">
        <is>
          <t>2024</t>
        </is>
      </c>
      <c r="E27" s="2" t="inlineStr">
        <is>
          <t>lemanapro.ru</t>
        </is>
      </c>
      <c r="F27" s="2" t="inlineStr">
        <is>
          <t>гайд / инструкция</t>
        </is>
      </c>
      <c r="G27" s="2" t="inlineStr">
        <is>
          <t>Безопасность</t>
        </is>
      </c>
      <c r="H27" s="2" t="inlineStr">
        <is>
          <t>🔴 Высокий</t>
        </is>
      </c>
      <c r="I27" s="2" t="inlineStr">
        <is>
          <t>требует проверки (401)</t>
        </is>
      </c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7">
      <c r="A28" s="2" t="inlineStr">
        <is>
          <t>https://alexgyver.ru/gyverkit-solder/</t>
        </is>
      </c>
      <c r="B28" s="2" t="inlineStr">
        <is>
          <t>Паяльный набор начинающего: комплект GyvER</t>
        </is>
      </c>
      <c r="C28" s="2" t="inlineStr">
        <is>
          <t>Паяльный набор GyvERkit Solder</t>
        </is>
      </c>
      <c r="D28" s="2" t="inlineStr">
        <is>
          <t>2024</t>
        </is>
      </c>
      <c r="E28" s="2" t="inlineStr">
        <is>
          <t>alexgyver.ru</t>
        </is>
      </c>
      <c r="F28" s="2" t="inlineStr">
        <is>
          <t>product-led / buyer's guide</t>
        </is>
      </c>
      <c r="G28" s="2" t="inlineStr">
        <is>
          <t>Организация рабочего места</t>
        </is>
      </c>
      <c r="H28" s="2" t="inlineStr">
        <is>
          <t>🔴 Высокий</t>
        </is>
      </c>
      <c r="I28" s="2" t="inlineStr">
        <is>
          <t>собрано</t>
        </is>
      </c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7">
      <c r="A29" s="2" t="inlineStr">
        <is>
          <t>https://alexgyver.ru/gyverkit-solder-mini/</t>
        </is>
      </c>
      <c r="B29" s="2" t="inlineStr">
        <is>
          <t>Мини-набор для пайки электроники GyvER</t>
        </is>
      </c>
      <c r="C29" s="2" t="inlineStr">
        <is>
          <t>Паяльный мини-набор GyvERkit Solder Mini</t>
        </is>
      </c>
      <c r="D29" s="2" t="inlineStr">
        <is>
          <t>2024</t>
        </is>
      </c>
      <c r="E29" s="2" t="inlineStr">
        <is>
          <t>alexgyver.ru</t>
        </is>
      </c>
      <c r="F29" s="2" t="inlineStr">
        <is>
          <t>product-led / buyer's guide</t>
        </is>
      </c>
      <c r="G29" s="2" t="inlineStr">
        <is>
          <t>Организация рабочего места</t>
        </is>
      </c>
      <c r="H29" s="2" t="inlineStr">
        <is>
          <t>🟡 Средний</t>
        </is>
      </c>
      <c r="I29" s="2" t="inlineStr">
        <is>
          <t>собрано</t>
        </is>
      </c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7">
      <c r="A30" s="2" t="inlineStr">
        <is>
          <t>https://supereyes.ru/articles/soldering_bga_reballing/payka_bga_mikroskhem_ili_rebolling_dlya_nachinayushchikh/</t>
        </is>
      </c>
      <c r="B30" s="2" t="inlineStr">
        <is>
          <t>Пайка BGA микросхем для начинающих — советы от Суперайс</t>
        </is>
      </c>
      <c r="C30" s="2" t="inlineStr">
        <is>
          <t>Пайка BGA микросхем или реболлинг для начинающих</t>
        </is>
      </c>
      <c r="D30" s="2" t="inlineStr">
        <is>
          <t>10-02-2023</t>
        </is>
      </c>
      <c r="E30" s="2" t="inlineStr">
        <is>
          <t>supereyes.ru</t>
        </is>
      </c>
      <c r="F30" s="2" t="inlineStr">
        <is>
          <t>гайд / инструкция</t>
        </is>
      </c>
      <c r="G30" s="2" t="inlineStr">
        <is>
          <t>BGA и Реболлинг</t>
        </is>
      </c>
      <c r="H30" s="2" t="inlineStr">
        <is>
          <t>высокий</t>
        </is>
      </c>
      <c r="I30" s="2" t="inlineStr">
        <is>
          <t>собрано</t>
        </is>
      </c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7">
      <c r="A31" s="2" t="inlineStr">
        <is>
          <t>https://est-smt.ru/stati/rebolling-kak-payat-mikroskhemy-bga/</t>
        </is>
      </c>
      <c r="B31" s="2" t="inlineStr">
        <is>
          <t>Пайка BGA что это: полное руководство по реболлингу</t>
        </is>
      </c>
      <c r="C31" s="2" t="inlineStr">
        <is>
          <t>Пайка BGA что это: полное руководство по реболлингу</t>
        </is>
      </c>
      <c r="D31" s="2" t="inlineStr">
        <is>
          <t>15-12-2025</t>
        </is>
      </c>
      <c r="E31" s="2" t="inlineStr">
        <is>
          <t>est-smt.ru</t>
        </is>
      </c>
      <c r="F31" s="2" t="inlineStr">
        <is>
          <t>экспертный гайд</t>
        </is>
      </c>
      <c r="G31" s="2" t="inlineStr">
        <is>
          <t>BGA и Реболлинг</t>
        </is>
      </c>
      <c r="H31" s="2" t="inlineStr">
        <is>
          <t>высокий</t>
        </is>
      </c>
      <c r="I31" s="2" t="inlineStr">
        <is>
          <t>собрано</t>
        </is>
      </c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7">
      <c r="A32" s="2" t="inlineStr">
        <is>
          <t>https://habr.com/ru/companies/ruvds/articles/1025162/</t>
        </is>
      </c>
      <c r="B32" s="2" t="inlineStr">
        <is>
          <t>АПаем возможности паять: переход на новый паяльник</t>
        </is>
      </c>
      <c r="C32" s="2" t="inlineStr">
        <is>
          <t>Переход на новый паяльник</t>
        </is>
      </c>
      <c r="D32" s="2" t="inlineStr">
        <is>
          <t>23-04-2026</t>
        </is>
      </c>
      <c r="E32" s="2" t="inlineStr">
        <is>
          <t>habr.com</t>
        </is>
      </c>
      <c r="F32" s="2" t="inlineStr">
        <is>
          <t>обзор / выбор</t>
        </is>
      </c>
      <c r="G32" s="2" t="inlineStr">
        <is>
          <t>Смарт-паяльники Type-C</t>
        </is>
      </c>
      <c r="H32" s="2" t="inlineStr">
        <is>
          <t>средний</t>
        </is>
      </c>
      <c r="I32" s="2" t="inlineStr">
        <is>
          <t>собрано</t>
        </is>
      </c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7">
      <c r="A33" s="2" t="inlineStr">
        <is>
          <t>https://supereyes.ru/articles/soldering_bga_reballing/luchshie-payalnye-stantsii-2025/</t>
        </is>
      </c>
      <c r="B33" s="2" t="inlineStr">
        <is>
          <t>Лучшие паяльные станции: рейтинг и обзор</t>
        </is>
      </c>
      <c r="C33" s="2" t="inlineStr">
        <is>
          <t>Лучшие паяльные станции 2025–2026</t>
        </is>
      </c>
      <c r="D33" s="2" t="inlineStr">
        <is>
          <t>28-10-2025</t>
        </is>
      </c>
      <c r="E33" s="2" t="inlineStr">
        <is>
          <t>supereyes.ru</t>
        </is>
      </c>
      <c r="F33" s="2" t="inlineStr">
        <is>
          <t>рейтинг</t>
        </is>
      </c>
      <c r="G33" s="2" t="inlineStr">
        <is>
          <t>Инструменты / Рейтинг паяльников</t>
        </is>
      </c>
      <c r="H33" s="2" t="inlineStr">
        <is>
          <t>высокий</t>
        </is>
      </c>
      <c r="I33" s="2" t="inlineStr">
        <is>
          <t>собрано</t>
        </is>
      </c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7">
      <c r="A34" s="2" t="inlineStr">
        <is>
          <t>https://habr.com/ru/articles/790806/</t>
        </is>
      </c>
      <c r="B34" s="2" t="inlineStr">
        <is>
          <t>Пайка компонентов в корпусе 0201</t>
        </is>
      </c>
      <c r="C34" s="2" t="inlineStr">
        <is>
          <t>Пайка компонентов в корпусе 0201</t>
        </is>
      </c>
      <c r="D34" s="2" t="inlineStr">
        <is>
          <t>01-02-2024</t>
        </is>
      </c>
      <c r="E34" s="2" t="inlineStr">
        <is>
          <t>habr.com</t>
        </is>
      </c>
      <c r="F34" s="2" t="inlineStr">
        <is>
          <t>инструкция</t>
        </is>
      </c>
      <c r="G34" s="2" t="inlineStr">
        <is>
          <t>Типы монтажа / SMD</t>
        </is>
      </c>
      <c r="H34" s="2" t="inlineStr">
        <is>
          <t>средний</t>
        </is>
      </c>
      <c r="I34" s="2" t="inlineStr">
        <is>
          <t>собрано</t>
        </is>
      </c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7">
      <c r="A35" s="2" t="inlineStr">
        <is>
          <t>https://www.youtube.com/watch?v=rJ1bduQadqk</t>
        </is>
      </c>
      <c r="B35" s="2" t="inlineStr">
        <is>
          <t>BGA пайка ЕММС с помощью паяльной пасты</t>
        </is>
      </c>
      <c r="C35" s="2" t="inlineStr">
        <is>
          <t>BGA пайка ЕММС пастой</t>
        </is>
      </c>
      <c r="D35" s="2" t="inlineStr">
        <is>
          <t>20-12-2022</t>
        </is>
      </c>
      <c r="E35" s="2" t="inlineStr">
        <is>
          <t>youtube.com / RemTV</t>
        </is>
      </c>
      <c r="F35" s="2" t="inlineStr">
        <is>
          <t>видео-урок</t>
        </is>
      </c>
      <c r="G35" s="2" t="inlineStr">
        <is>
          <t>BGA и Реболлинг</t>
        </is>
      </c>
      <c r="H35" s="2" t="inlineStr">
        <is>
          <t>средний</t>
        </is>
      </c>
      <c r="I35" s="2" t="inlineStr">
        <is>
          <t>собрано</t>
        </is>
      </c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7">
      <c r="A36" s="4" t="inlineStr">
        <is>
          <t>mobile-shrek.com.ua/ru/blog/kak-payat-smd-komponenty.html</t>
        </is>
      </c>
      <c r="B36" s="5" t="inlineStr">
        <is>
          <t>Как паять SMD-компоненты: технология, инструменты и советы</t>
        </is>
      </c>
      <c r="C36" s="5" t="n"/>
      <c r="D36" s="5" t="n"/>
      <c r="E36" s="4" t="inlineStr">
        <is>
          <t>mobile-shrek.com.ua</t>
        </is>
      </c>
      <c r="F36" s="5" t="inlineStr">
        <is>
          <t>гайд / инструкция</t>
        </is>
      </c>
      <c r="G36" s="5" t="inlineStr">
        <is>
          <t>Типы монтажа / SMD</t>
        </is>
      </c>
      <c r="H36" s="5" t="inlineStr">
        <is>
          <t>высокий</t>
        </is>
      </c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7">
      <c r="A37" s="4" t="inlineStr">
        <is>
          <t>mobile-shrek.com.ua/ru/blog/kak-payat-v-domashnih-usloviyah-bezopasno-i-pravilno.html</t>
        </is>
      </c>
      <c r="B37" s="5" t="inlineStr">
        <is>
          <t>Как паять в домашних условиях безопасно и правильно</t>
        </is>
      </c>
      <c r="C37" s="5" t="n"/>
      <c r="D37" s="5" t="n"/>
      <c r="E37" s="4" t="inlineStr">
        <is>
          <t>mobile-shrek.com.ua</t>
        </is>
      </c>
      <c r="F37" s="5" t="inlineStr">
        <is>
          <t>гайд для новичков</t>
        </is>
      </c>
      <c r="G37" s="5" t="inlineStr">
        <is>
          <t>Основы пайки / Безопасность</t>
        </is>
      </c>
      <c r="H37" s="5" t="inlineStr">
        <is>
          <t>высокий</t>
        </is>
      </c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7">
      <c r="A38" s="4" t="inlineStr">
        <is>
          <t>mobile-shrek.com.ua/ru/blog/pochemu-payalnik-ploho-nagrevaetsya-i-chto-s-ehtim-delat.html</t>
        </is>
      </c>
      <c r="B38" s="5" t="inlineStr">
        <is>
          <t>Почему паяльник плохо нагревается и что с этим делать</t>
        </is>
      </c>
      <c r="C38" s="5" t="n"/>
      <c r="D38" s="5" t="n"/>
      <c r="E38" s="4" t="inlineStr">
        <is>
          <t>mobile-shrek.com.ua</t>
        </is>
      </c>
      <c r="F38" s="5" t="inlineStr">
        <is>
          <t>проблема / решение</t>
        </is>
      </c>
      <c r="G38" s="5" t="inlineStr">
        <is>
          <t>Ошибки / Диагностика</t>
        </is>
      </c>
      <c r="H38" s="5" t="inlineStr">
        <is>
          <t>высокий</t>
        </is>
      </c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7">
      <c r="A39" s="4" t="inlineStr">
        <is>
          <t>mobile-shrek.com.ua/ru/blog/kak-pripayat-naushniki-k-shtekeru-chto-nuzhno-i-kak-izbezhat-oshibok.html</t>
        </is>
      </c>
      <c r="B39" s="5" t="inlineStr">
        <is>
          <t>Как припаять наушники к штекеру</t>
        </is>
      </c>
      <c r="C39" s="5" t="n"/>
      <c r="D39" s="5" t="n"/>
      <c r="E39" s="4" t="inlineStr">
        <is>
          <t>mobile-shrek.com.ua</t>
        </is>
      </c>
      <c r="F39" s="5" t="inlineStr">
        <is>
          <t>инструкция</t>
        </is>
      </c>
      <c r="G39" s="5" t="inlineStr">
        <is>
          <t>Ремонт электроники</t>
        </is>
      </c>
      <c r="H39" s="5" t="inlineStr">
        <is>
          <t>средний</t>
        </is>
      </c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7">
      <c r="A40" s="4" t="inlineStr">
        <is>
          <t>mobile-shrek.com.ua/ru/blog/yntegryrovannye-zhala-t12-chto-nuzhno-znat-o-samom-udobnom-formate-pajky.html</t>
        </is>
      </c>
      <c r="B40" s="5" t="inlineStr">
        <is>
          <t>Интегрированные жала T12: что нужно знать</t>
        </is>
      </c>
      <c r="C40" s="5" t="n"/>
      <c r="D40" s="5" t="n"/>
      <c r="E40" s="4" t="inlineStr">
        <is>
          <t>mobile-shrek.com.ua</t>
        </is>
      </c>
      <c r="F40" s="5" t="inlineStr">
        <is>
          <t>обзор / выбор</t>
        </is>
      </c>
      <c r="G40" s="5" t="inlineStr">
        <is>
          <t>Инструменты / Жала</t>
        </is>
      </c>
      <c r="H40" s="5" t="inlineStr">
        <is>
          <t>средний</t>
        </is>
      </c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7">
      <c r="A41" s="4" t="inlineStr">
        <is>
          <t>mobile-shrek.com.ua/ru/blog/kak-proshit-ts101-oficialnoj-proshivkoj-ili-ironos.html</t>
        </is>
      </c>
      <c r="B41" s="5" t="inlineStr">
        <is>
          <t>Как прошить TS101 официальной прошивкой или IronOS</t>
        </is>
      </c>
      <c r="C41" s="5" t="n"/>
      <c r="D41" s="5" t="n"/>
      <c r="E41" s="4" t="inlineStr">
        <is>
          <t>mobile-shrek.com.ua</t>
        </is>
      </c>
      <c r="F41" s="5" t="inlineStr">
        <is>
          <t>инструкция / прошивка</t>
        </is>
      </c>
      <c r="G41" s="5" t="inlineStr">
        <is>
          <t>Смарт-паяльники Type-C</t>
        </is>
      </c>
      <c r="H41" s="5" t="inlineStr">
        <is>
          <t>средний</t>
        </is>
      </c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7">
      <c r="A42" s="4" t="inlineStr">
        <is>
          <t>mobile-shrek.com.ua/ru/blog/handskit-t12d-optymalnyj-varyant-dlya-masterov.html</t>
        </is>
      </c>
      <c r="B42" s="5" t="inlineStr">
        <is>
          <t>Handskit T12D — оптимальный вариант для мастеров</t>
        </is>
      </c>
      <c r="C42" s="5" t="n"/>
      <c r="D42" s="5" t="n"/>
      <c r="E42" s="4" t="inlineStr">
        <is>
          <t>mobile-shrek.com.ua</t>
        </is>
      </c>
      <c r="F42" s="5" t="inlineStr">
        <is>
          <t>обзор</t>
        </is>
      </c>
      <c r="G42" s="5" t="inlineStr">
        <is>
          <t>Инструменты / Рейтинг паяльников</t>
        </is>
      </c>
      <c r="H42" s="5" t="inlineStr">
        <is>
          <t>средний</t>
        </is>
      </c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7">
      <c r="A43" s="4" t="inlineStr">
        <is>
          <t>mobile-shrek.com.ua/ru/blog/detalnyj-analyz-payalnoj-stantsyy-oss-t210-s-zhalom-jbc-c210-75w.html</t>
        </is>
      </c>
      <c r="B43" s="5" t="inlineStr">
        <is>
          <t>Детальный анализ паяльной станции OSS T210 с жалом JBC C210</t>
        </is>
      </c>
      <c r="C43" s="5" t="n"/>
      <c r="D43" s="5" t="n"/>
      <c r="E43" s="4" t="inlineStr">
        <is>
          <t>mobile-shrek.com.ua</t>
        </is>
      </c>
      <c r="F43" s="5" t="inlineStr">
        <is>
          <t>обзор станции</t>
        </is>
      </c>
      <c r="G43" s="5" t="inlineStr">
        <is>
          <t>Инструменты / Паяльные станции</t>
        </is>
      </c>
      <c r="H43" s="5" t="inlineStr">
        <is>
          <t>средний</t>
        </is>
      </c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7">
      <c r="A44" s="4" t="inlineStr">
        <is>
          <t>electronix.ru/forum/forum/38-payka-i-montazh/</t>
        </is>
      </c>
      <c r="B44" s="5" t="inlineStr">
        <is>
          <t>Форум «Пайка и монтаж»</t>
        </is>
      </c>
      <c r="C44" s="5" t="n"/>
      <c r="D44" s="5" t="n"/>
      <c r="E44" s="4" t="inlineStr">
        <is>
          <t>electronix.ru</t>
        </is>
      </c>
      <c r="F44" s="5" t="inlineStr">
        <is>
          <t>форум / сообщество</t>
        </is>
      </c>
      <c r="G44" s="5" t="inlineStr">
        <is>
          <t>Флюсы / Расходники</t>
        </is>
      </c>
      <c r="H44" s="5" t="inlineStr">
        <is>
          <t>средний</t>
        </is>
      </c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7">
      <c r="A45" s="4" t="inlineStr">
        <is>
          <t>electronix.ru/forum/topic/61374-posovetuyte-kachestvennyy-flyus-dlya-payki-smd/</t>
        </is>
      </c>
      <c r="B45" s="5" t="inlineStr">
        <is>
          <t>Посоветуйте качественный флюс для пайки SMD</t>
        </is>
      </c>
      <c r="C45" s="5" t="n"/>
      <c r="D45" s="5" t="n"/>
      <c r="E45" s="4" t="inlineStr">
        <is>
          <t>electronix.ru</t>
        </is>
      </c>
      <c r="F45" s="5" t="inlineStr">
        <is>
          <t>форум / вопрос-ответ</t>
        </is>
      </c>
      <c r="G45" s="5" t="inlineStr">
        <is>
          <t>Флюсы / Расходники</t>
        </is>
      </c>
      <c r="H45" s="5" t="inlineStr">
        <is>
          <t>средний</t>
        </is>
      </c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7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7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7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7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7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7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7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7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7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7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7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7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7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7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7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7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7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7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7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7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7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7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7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7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7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7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7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7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7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7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7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7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7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7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7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7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7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7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7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7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7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7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7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7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7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7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7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7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7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7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7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7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7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7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7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7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7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7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7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7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7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7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7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7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7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7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7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7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7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7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7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7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7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7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7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7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7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7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7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7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7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7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7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7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7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7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7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7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7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7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7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7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7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7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7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7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7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7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7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7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7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7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7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7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7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7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7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7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7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7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7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7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7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7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7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7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7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7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7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7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7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7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7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7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7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7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7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7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7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7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7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7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7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7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7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7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7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7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7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7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7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7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7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7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7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7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7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7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7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7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7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7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7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7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7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7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7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7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7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7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7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7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7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7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7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7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7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7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7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7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7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7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 ht="15.75" customHeight="1" s="1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 ht="15.75" customHeight="1" s="17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 ht="15.75" customHeight="1" s="17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 ht="15.75" customHeight="1" s="17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 ht="15.75" customHeight="1" s="17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 ht="15.75" customHeight="1" s="17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 ht="15.75" customHeight="1" s="17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 ht="15.75" customHeight="1" s="17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 ht="15.75" customHeight="1" s="17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 ht="15.75" customHeight="1" s="17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 ht="15.75" customHeight="1" s="1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 ht="15.75" customHeight="1" s="17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 ht="15.75" customHeight="1" s="17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 ht="15.75" customHeight="1" s="17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 ht="15.75" customHeight="1" s="17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 ht="15.75" customHeight="1" s="17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 ht="15.75" customHeight="1" s="17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 ht="15.75" customHeight="1" s="17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 ht="15.75" customHeight="1" s="17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 ht="15.75" customHeight="1" s="17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 ht="15.75" customHeight="1" s="1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 ht="15.75" customHeight="1" s="17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 ht="15.75" customHeight="1" s="17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 ht="15.75" customHeight="1" s="17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 ht="15.75" customHeight="1" s="17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 ht="15.75" customHeight="1" s="17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 ht="15.75" customHeight="1" s="17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 ht="15.75" customHeight="1" s="17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 ht="15.75" customHeight="1" s="17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 ht="15.75" customHeight="1" s="17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 ht="15.75" customHeight="1" s="1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 ht="15.75" customHeight="1" s="17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 ht="15.75" customHeight="1" s="17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 ht="15.75" customHeight="1" s="17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 ht="15.75" customHeight="1" s="17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 ht="15.75" customHeight="1" s="17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 ht="15.75" customHeight="1" s="17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 ht="15.75" customHeight="1" s="17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 ht="15.75" customHeight="1" s="17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 ht="15.75" customHeight="1" s="17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 ht="15.75" customHeight="1" s="1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 ht="15.75" customHeight="1" s="17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 ht="15.75" customHeight="1" s="17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 ht="15.75" customHeight="1" s="17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 ht="15.75" customHeight="1" s="17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 ht="15.75" customHeight="1" s="17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 ht="15.75" customHeight="1" s="17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 ht="15.75" customHeight="1" s="17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 ht="15.75" customHeight="1" s="17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 ht="15.75" customHeight="1" s="17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 ht="15.75" customHeight="1" s="1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 ht="15.75" customHeight="1" s="17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 ht="15.75" customHeight="1" s="17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 ht="15.75" customHeight="1" s="17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 ht="15.75" customHeight="1" s="17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 ht="15.75" customHeight="1" s="17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 ht="15.75" customHeight="1" s="17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 ht="15.75" customHeight="1" s="17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 ht="15.75" customHeight="1" s="17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 ht="15.75" customHeight="1" s="17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 ht="15.75" customHeight="1" s="1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 ht="15.75" customHeight="1" s="17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 ht="15.75" customHeight="1" s="17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 ht="15.75" customHeight="1" s="17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 ht="15.75" customHeight="1" s="17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 ht="15.75" customHeight="1" s="17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 ht="15.75" customHeight="1" s="17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 ht="15.75" customHeight="1" s="17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 ht="15.75" customHeight="1" s="17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 ht="15.75" customHeight="1" s="17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 ht="15.75" customHeight="1" s="1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 ht="15.75" customHeight="1" s="17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 ht="15.75" customHeight="1" s="17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 ht="15.75" customHeight="1" s="17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 ht="15.75" customHeight="1" s="17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 ht="15.75" customHeight="1" s="17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 ht="15.75" customHeight="1" s="17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 ht="15.75" customHeight="1" s="17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 ht="15.75" customHeight="1" s="17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 ht="15.75" customHeight="1" s="17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 ht="15.75" customHeight="1" s="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 ht="15.75" customHeight="1" s="17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 ht="15.75" customHeight="1" s="17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 ht="15.75" customHeight="1" s="17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 ht="15.75" customHeight="1" s="17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 ht="15.75" customHeight="1" s="17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 ht="15.75" customHeight="1" s="17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 ht="15.75" customHeight="1" s="17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 ht="15.75" customHeight="1" s="17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 ht="15.75" customHeight="1" s="17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 ht="15.75" customHeight="1" s="1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 ht="15.75" customHeight="1" s="17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 ht="15.75" customHeight="1" s="17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 ht="15.75" customHeight="1" s="17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 ht="15.75" customHeight="1" s="17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 ht="15.75" customHeight="1" s="17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 ht="15.75" customHeight="1" s="17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 ht="15.75" customHeight="1" s="17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 ht="15.75" customHeight="1" s="17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 ht="15.75" customHeight="1" s="17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 ht="15.75" customHeight="1" s="1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 ht="15.75" customHeight="1" s="17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 ht="15.75" customHeight="1" s="17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 ht="15.75" customHeight="1" s="17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 ht="15.75" customHeight="1" s="17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 ht="15.75" customHeight="1" s="17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 ht="15.75" customHeight="1" s="17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 ht="15.75" customHeight="1" s="17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 ht="15.75" customHeight="1" s="17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 ht="15.75" customHeight="1" s="17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 ht="15.75" customHeight="1" s="1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 ht="15.75" customHeight="1" s="17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 ht="15.75" customHeight="1" s="17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 ht="15.75" customHeight="1" s="17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 ht="15.75" customHeight="1" s="17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 ht="15.75" customHeight="1" s="17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 ht="15.75" customHeight="1" s="17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 ht="15.75" customHeight="1" s="17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 ht="15.75" customHeight="1" s="17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 ht="15.75" customHeight="1" s="17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 ht="15.75" customHeight="1" s="1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 ht="15.75" customHeight="1" s="17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 ht="15.75" customHeight="1" s="17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 ht="15.75" customHeight="1" s="17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 ht="15.75" customHeight="1" s="17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 ht="15.75" customHeight="1" s="17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 ht="15.75" customHeight="1" s="17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 ht="15.75" customHeight="1" s="17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 ht="15.75" customHeight="1" s="17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 ht="15.75" customHeight="1" s="17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 ht="15.75" customHeight="1" s="1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 ht="15.75" customHeight="1" s="17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 ht="15.75" customHeight="1" s="17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 ht="15.75" customHeight="1" s="17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 ht="15.75" customHeight="1" s="17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 ht="15.75" customHeight="1" s="17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 ht="15.75" customHeight="1" s="17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 ht="15.75" customHeight="1" s="17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 ht="15.75" customHeight="1" s="17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 ht="15.75" customHeight="1" s="17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 ht="15.75" customHeight="1" s="1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 ht="15.75" customHeight="1" s="17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 ht="15.75" customHeight="1" s="17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 ht="15.75" customHeight="1" s="17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 ht="15.75" customHeight="1" s="17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 ht="15.75" customHeight="1" s="17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 ht="15.75" customHeight="1" s="17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 ht="15.75" customHeight="1" s="17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 ht="15.75" customHeight="1" s="17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 ht="15.75" customHeight="1" s="17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 ht="15.75" customHeight="1" s="1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 ht="15.75" customHeight="1" s="17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 ht="15.75" customHeight="1" s="17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 ht="15.75" customHeight="1" s="17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 ht="15.75" customHeight="1" s="17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 ht="15.75" customHeight="1" s="17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 ht="15.75" customHeight="1" s="17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 ht="15.75" customHeight="1" s="17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 ht="15.75" customHeight="1" s="17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 ht="15.75" customHeight="1" s="17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 ht="15.75" customHeight="1" s="1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 ht="15.75" customHeight="1" s="17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 ht="15.75" customHeight="1" s="17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 ht="15.75" customHeight="1" s="17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 ht="15.75" customHeight="1" s="17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 ht="15.75" customHeight="1" s="17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 ht="15.75" customHeight="1" s="17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 ht="15.75" customHeight="1" s="17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 ht="15.75" customHeight="1" s="17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 ht="15.75" customHeight="1" s="17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 ht="15.75" customHeight="1" s="1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 ht="15.75" customHeight="1" s="17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 ht="15.75" customHeight="1" s="17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 ht="15.75" customHeight="1" s="17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 ht="15.75" customHeight="1" s="17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 ht="15.75" customHeight="1" s="17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 ht="15.75" customHeight="1" s="17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 ht="15.75" customHeight="1" s="17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 ht="15.75" customHeight="1" s="17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 ht="15.75" customHeight="1" s="17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 ht="15.75" customHeight="1" s="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 ht="15.75" customHeight="1" s="17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 ht="15.75" customHeight="1" s="17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 ht="15.75" customHeight="1" s="17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 ht="15.75" customHeight="1" s="17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 ht="15.75" customHeight="1" s="17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 ht="15.75" customHeight="1" s="17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 ht="15.75" customHeight="1" s="17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 ht="15.75" customHeight="1" s="17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 ht="15.75" customHeight="1" s="17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 ht="15.75" customHeight="1" s="1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 ht="15.75" customHeight="1" s="17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 ht="15.75" customHeight="1" s="17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 ht="15.75" customHeight="1" s="17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 ht="15.75" customHeight="1" s="17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 ht="15.75" customHeight="1" s="17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 ht="15.75" customHeight="1" s="17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 ht="15.75" customHeight="1" s="17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 ht="15.75" customHeight="1" s="17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 ht="15.75" customHeight="1" s="17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 ht="15.75" customHeight="1" s="1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 ht="15.75" customHeight="1" s="17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 ht="15.75" customHeight="1" s="17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 ht="15.75" customHeight="1" s="17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 ht="15.75" customHeight="1" s="17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 ht="15.75" customHeight="1" s="17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 ht="15.75" customHeight="1" s="17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 ht="15.75" customHeight="1" s="17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 ht="15.75" customHeight="1" s="17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 ht="15.75" customHeight="1" s="17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 ht="15.75" customHeight="1" s="1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 ht="15.75" customHeight="1" s="17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 ht="15.75" customHeight="1" s="17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 ht="15.75" customHeight="1" s="17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 ht="15.75" customHeight="1" s="17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 ht="15.75" customHeight="1" s="17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 ht="15.75" customHeight="1" s="17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 ht="15.75" customHeight="1" s="17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 ht="15.75" customHeight="1" s="17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 ht="15.75" customHeight="1" s="17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 ht="15.75" customHeight="1" s="1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 ht="15.75" customHeight="1" s="17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 ht="15.75" customHeight="1" s="17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 ht="15.75" customHeight="1" s="17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 ht="15.75" customHeight="1" s="17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 ht="15.75" customHeight="1" s="17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 ht="15.75" customHeight="1" s="17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 ht="15.75" customHeight="1" s="17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 ht="15.75" customHeight="1" s="17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 ht="15.75" customHeight="1" s="17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 ht="15.75" customHeight="1" s="1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 ht="15.75" customHeight="1" s="17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 ht="15.75" customHeight="1" s="17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 ht="15.75" customHeight="1" s="17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 ht="15.75" customHeight="1" s="17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 ht="15.75" customHeight="1" s="17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 ht="15.75" customHeight="1" s="17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 ht="15.75" customHeight="1" s="17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 ht="15.75" customHeight="1" s="17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 ht="15.75" customHeight="1" s="17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 ht="15.75" customHeight="1" s="1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 ht="15.75" customHeight="1" s="17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 ht="15.75" customHeight="1" s="17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 ht="15.75" customHeight="1" s="17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 ht="15.75" customHeight="1" s="17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 ht="15.75" customHeight="1" s="17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 ht="15.75" customHeight="1" s="17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 ht="15.75" customHeight="1" s="17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 ht="15.75" customHeight="1" s="17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 ht="15.75" customHeight="1" s="17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 ht="15.75" customHeight="1" s="1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 ht="15.75" customHeight="1" s="17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 ht="15.75" customHeight="1" s="17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 ht="15.75" customHeight="1" s="17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 ht="15.75" customHeight="1" s="17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 ht="15.75" customHeight="1" s="17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 ht="15.75" customHeight="1" s="17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 ht="15.75" customHeight="1" s="17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 ht="15.75" customHeight="1" s="17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 ht="15.75" customHeight="1" s="17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 ht="15.75" customHeight="1" s="1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 ht="15.75" customHeight="1" s="17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 ht="15.75" customHeight="1" s="17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 ht="15.75" customHeight="1" s="17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 ht="15.75" customHeight="1" s="17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  <row r="502" ht="15.75" customHeight="1" s="17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</row>
    <row r="503" ht="15.75" customHeight="1" s="17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</row>
    <row r="504" ht="15.75" customHeight="1" s="17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</row>
    <row r="505" ht="15.75" customHeight="1" s="17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</row>
    <row r="506" ht="15.75" customHeight="1" s="17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</row>
    <row r="507" ht="15.75" customHeight="1" s="1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</row>
    <row r="508" ht="15.75" customHeight="1" s="17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</row>
    <row r="509" ht="15.75" customHeight="1" s="17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</row>
    <row r="510" ht="15.75" customHeight="1" s="17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</row>
    <row r="511" ht="15.75" customHeight="1" s="17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</row>
    <row r="512" ht="15.75" customHeight="1" s="17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</row>
    <row r="513" ht="15.75" customHeight="1" s="17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</row>
    <row r="514" ht="15.75" customHeight="1" s="17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</row>
    <row r="515" ht="15.75" customHeight="1" s="17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</row>
    <row r="516" ht="15.75" customHeight="1" s="17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</row>
    <row r="517" ht="15.75" customHeight="1" s="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</row>
    <row r="518" ht="15.75" customHeight="1" s="17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</row>
    <row r="519" ht="15.75" customHeight="1" s="17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</row>
    <row r="520" ht="15.75" customHeight="1" s="17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</row>
    <row r="521" ht="15.75" customHeight="1" s="17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</row>
    <row r="522" ht="15.75" customHeight="1" s="17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</row>
    <row r="523" ht="15.75" customHeight="1" s="17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</row>
    <row r="524" ht="15.75" customHeight="1" s="17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</row>
    <row r="525" ht="15.75" customHeight="1" s="17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</row>
    <row r="526" ht="15.75" customHeight="1" s="17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</row>
    <row r="527" ht="15.75" customHeight="1" s="1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</row>
    <row r="528" ht="15.75" customHeight="1" s="17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</row>
    <row r="529" ht="15.75" customHeight="1" s="17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</row>
    <row r="530" ht="15.75" customHeight="1" s="17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</row>
    <row r="531" ht="15.75" customHeight="1" s="17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</row>
    <row r="532" ht="15.75" customHeight="1" s="17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</row>
    <row r="533" ht="15.75" customHeight="1" s="17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</row>
    <row r="534" ht="15.75" customHeight="1" s="17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</row>
    <row r="535" ht="15.75" customHeight="1" s="17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</row>
    <row r="536" ht="15.75" customHeight="1" s="17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</row>
    <row r="537" ht="15.75" customHeight="1" s="1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</row>
    <row r="538" ht="15.75" customHeight="1" s="17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</row>
    <row r="539" ht="15.75" customHeight="1" s="17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</row>
    <row r="540" ht="15.75" customHeight="1" s="17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</row>
    <row r="541" ht="15.75" customHeight="1" s="17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</row>
    <row r="542" ht="15.75" customHeight="1" s="17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</row>
    <row r="543" ht="15.75" customHeight="1" s="17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</row>
    <row r="544" ht="15.75" customHeight="1" s="17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</row>
    <row r="545" ht="15.75" customHeight="1" s="17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</row>
    <row r="546" ht="15.75" customHeight="1" s="17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</row>
    <row r="547" ht="15.75" customHeight="1" s="1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</row>
    <row r="548" ht="15.75" customHeight="1" s="17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</row>
    <row r="549" ht="15.75" customHeight="1" s="17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</row>
    <row r="550" ht="15.75" customHeight="1" s="17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</row>
    <row r="551" ht="15.75" customHeight="1" s="17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</row>
    <row r="552" ht="15.75" customHeight="1" s="17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</row>
    <row r="553" ht="15.75" customHeight="1" s="17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</row>
    <row r="554" ht="15.75" customHeight="1" s="17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</row>
    <row r="555" ht="15.75" customHeight="1" s="17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</row>
    <row r="556" ht="15.75" customHeight="1" s="17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</row>
    <row r="557" ht="15.75" customHeight="1" s="1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</row>
    <row r="558" ht="15.75" customHeight="1" s="17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</row>
    <row r="559" ht="15.75" customHeight="1" s="17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</row>
    <row r="560" ht="15.75" customHeight="1" s="17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</row>
    <row r="561" ht="15.75" customHeight="1" s="17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</row>
    <row r="562" ht="15.75" customHeight="1" s="17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</row>
    <row r="563" ht="15.75" customHeight="1" s="17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</row>
    <row r="564" ht="15.75" customHeight="1" s="17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</row>
    <row r="565" ht="15.75" customHeight="1" s="17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</row>
    <row r="566" ht="15.75" customHeight="1" s="17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</row>
    <row r="567" ht="15.75" customHeight="1" s="1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</row>
    <row r="568" ht="15.75" customHeight="1" s="17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</row>
    <row r="569" ht="15.75" customHeight="1" s="17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</row>
    <row r="570" ht="15.75" customHeight="1" s="17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</row>
    <row r="571" ht="15.75" customHeight="1" s="17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</row>
    <row r="572" ht="15.75" customHeight="1" s="17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</row>
    <row r="573" ht="15.75" customHeight="1" s="17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</row>
    <row r="574" ht="15.75" customHeight="1" s="17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</row>
    <row r="575" ht="15.75" customHeight="1" s="17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</row>
    <row r="576" ht="15.75" customHeight="1" s="17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</row>
    <row r="577" ht="15.75" customHeight="1" s="1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</row>
    <row r="578" ht="15.75" customHeight="1" s="17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</row>
    <row r="579" ht="15.75" customHeight="1" s="17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</row>
    <row r="580" ht="15.75" customHeight="1" s="17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</row>
    <row r="581" ht="15.75" customHeight="1" s="17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</row>
    <row r="582" ht="15.75" customHeight="1" s="17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</row>
    <row r="583" ht="15.75" customHeight="1" s="17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</row>
    <row r="584" ht="15.75" customHeight="1" s="17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</row>
    <row r="585" ht="15.75" customHeight="1" s="17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</row>
    <row r="586" ht="15.75" customHeight="1" s="17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</row>
    <row r="587" ht="15.75" customHeight="1" s="1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</row>
    <row r="588" ht="15.75" customHeight="1" s="17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</row>
    <row r="589" ht="15.75" customHeight="1" s="17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</row>
    <row r="590" ht="15.75" customHeight="1" s="17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</row>
    <row r="591" ht="15.75" customHeight="1" s="17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</row>
    <row r="592" ht="15.75" customHeight="1" s="17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</row>
    <row r="593" ht="15.75" customHeight="1" s="17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</row>
    <row r="594" ht="15.75" customHeight="1" s="17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</row>
    <row r="595" ht="15.75" customHeight="1" s="17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</row>
    <row r="596" ht="15.75" customHeight="1" s="17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</row>
    <row r="597" ht="15.75" customHeight="1" s="1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</row>
    <row r="598" ht="15.75" customHeight="1" s="17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</row>
    <row r="599" ht="15.75" customHeight="1" s="17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</row>
    <row r="600" ht="15.75" customHeight="1" s="17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</row>
    <row r="601" ht="15.75" customHeight="1" s="17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</row>
    <row r="602" ht="15.75" customHeight="1" s="17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</row>
    <row r="603" ht="15.75" customHeight="1" s="17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</row>
    <row r="604" ht="15.75" customHeight="1" s="17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</row>
    <row r="605" ht="15.75" customHeight="1" s="17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</row>
    <row r="606" ht="15.75" customHeight="1" s="17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</row>
    <row r="607" ht="15.75" customHeight="1" s="1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</row>
    <row r="608" ht="15.75" customHeight="1" s="17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</row>
    <row r="609" ht="15.75" customHeight="1" s="17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</row>
    <row r="610" ht="15.75" customHeight="1" s="17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</row>
    <row r="611" ht="15.75" customHeight="1" s="17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</row>
    <row r="612" ht="15.75" customHeight="1" s="17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</row>
    <row r="613" ht="15.75" customHeight="1" s="17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</row>
    <row r="614" ht="15.75" customHeight="1" s="17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</row>
    <row r="615" ht="15.75" customHeight="1" s="17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</row>
    <row r="616" ht="15.75" customHeight="1" s="17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</row>
    <row r="617" ht="15.75" customHeight="1" s="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</row>
    <row r="618" ht="15.75" customHeight="1" s="17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</row>
    <row r="619" ht="15.75" customHeight="1" s="17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</row>
    <row r="620" ht="15.75" customHeight="1" s="17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</row>
    <row r="621" ht="15.75" customHeight="1" s="17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</row>
    <row r="622" ht="15.75" customHeight="1" s="17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</row>
    <row r="623" ht="15.75" customHeight="1" s="17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</row>
    <row r="624" ht="15.75" customHeight="1" s="17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</row>
    <row r="625" ht="15.75" customHeight="1" s="17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</row>
    <row r="626" ht="15.75" customHeight="1" s="17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</row>
    <row r="627" ht="15.75" customHeight="1" s="1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</row>
    <row r="628" ht="15.75" customHeight="1" s="17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</row>
    <row r="629" ht="15.75" customHeight="1" s="17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</row>
    <row r="630" ht="15.75" customHeight="1" s="17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</row>
    <row r="631" ht="15.75" customHeight="1" s="17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</row>
    <row r="632" ht="15.75" customHeight="1" s="17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</row>
    <row r="633" ht="15.75" customHeight="1" s="17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</row>
    <row r="634" ht="15.75" customHeight="1" s="17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</row>
    <row r="635" ht="15.75" customHeight="1" s="17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</row>
    <row r="636" ht="15.75" customHeight="1" s="17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</row>
    <row r="637" ht="15.75" customHeight="1" s="1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</row>
    <row r="638" ht="15.75" customHeight="1" s="17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</row>
    <row r="639" ht="15.75" customHeight="1" s="17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</row>
    <row r="640" ht="15.75" customHeight="1" s="17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</row>
    <row r="641" ht="15.75" customHeight="1" s="17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</row>
    <row r="642" ht="15.75" customHeight="1" s="17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</row>
    <row r="643" ht="15.75" customHeight="1" s="17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</row>
    <row r="644" ht="15.75" customHeight="1" s="17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</row>
    <row r="645" ht="15.75" customHeight="1" s="17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</row>
    <row r="646" ht="15.75" customHeight="1" s="17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</row>
    <row r="647" ht="15.75" customHeight="1" s="1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</row>
    <row r="648" ht="15.75" customHeight="1" s="17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</row>
    <row r="649" ht="15.75" customHeight="1" s="17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</row>
    <row r="650" ht="15.75" customHeight="1" s="17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</row>
    <row r="651" ht="15.75" customHeight="1" s="17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</row>
    <row r="652" ht="15.75" customHeight="1" s="17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</row>
    <row r="653" ht="15.75" customHeight="1" s="17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</row>
    <row r="654" ht="15.75" customHeight="1" s="17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</row>
    <row r="655" ht="15.75" customHeight="1" s="17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</row>
    <row r="656" ht="15.75" customHeight="1" s="17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</row>
    <row r="657" ht="15.75" customHeight="1" s="1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</row>
    <row r="658" ht="15.75" customHeight="1" s="17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</row>
    <row r="659" ht="15.75" customHeight="1" s="17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</row>
    <row r="660" ht="15.75" customHeight="1" s="17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</row>
    <row r="661" ht="15.75" customHeight="1" s="17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</row>
    <row r="662" ht="15.75" customHeight="1" s="17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</row>
    <row r="663" ht="15.75" customHeight="1" s="17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</row>
    <row r="664" ht="15.75" customHeight="1" s="17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</row>
    <row r="665" ht="15.75" customHeight="1" s="17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</row>
    <row r="666" ht="15.75" customHeight="1" s="17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</row>
    <row r="667" ht="15.75" customHeight="1" s="1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</row>
    <row r="668" ht="15.75" customHeight="1" s="17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</row>
    <row r="669" ht="15.75" customHeight="1" s="17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</row>
    <row r="670" ht="15.75" customHeight="1" s="17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</row>
    <row r="671" ht="15.75" customHeight="1" s="17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</row>
    <row r="672" ht="15.75" customHeight="1" s="17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</row>
    <row r="673" ht="15.75" customHeight="1" s="17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</row>
    <row r="674" ht="15.75" customHeight="1" s="17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</row>
    <row r="675" ht="15.75" customHeight="1" s="17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</row>
    <row r="676" ht="15.75" customHeight="1" s="17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</row>
    <row r="677" ht="15.75" customHeight="1" s="1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</row>
    <row r="678" ht="15.75" customHeight="1" s="17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</row>
    <row r="679" ht="15.75" customHeight="1" s="17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</row>
    <row r="680" ht="15.75" customHeight="1" s="17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</row>
    <row r="681" ht="15.75" customHeight="1" s="17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</row>
    <row r="682" ht="15.75" customHeight="1" s="17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</row>
    <row r="683" ht="15.75" customHeight="1" s="17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</row>
    <row r="684" ht="15.75" customHeight="1" s="17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</row>
    <row r="685" ht="15.75" customHeight="1" s="17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</row>
    <row r="686" ht="15.75" customHeight="1" s="17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</row>
    <row r="687" ht="15.75" customHeight="1" s="1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</row>
    <row r="688" ht="15.75" customHeight="1" s="17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</row>
    <row r="689" ht="15.75" customHeight="1" s="17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</row>
    <row r="690" ht="15.75" customHeight="1" s="17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</row>
    <row r="691" ht="15.75" customHeight="1" s="17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</row>
    <row r="692" ht="15.75" customHeight="1" s="17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</row>
    <row r="693" ht="15.75" customHeight="1" s="17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</row>
    <row r="694" ht="15.75" customHeight="1" s="17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</row>
    <row r="695" ht="15.75" customHeight="1" s="17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</row>
    <row r="696" ht="15.75" customHeight="1" s="17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</row>
    <row r="697" ht="15.75" customHeight="1" s="1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</row>
    <row r="698" ht="15.75" customHeight="1" s="17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</row>
    <row r="699" ht="15.75" customHeight="1" s="17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</row>
    <row r="700" ht="15.75" customHeight="1" s="17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</row>
    <row r="701" ht="15.75" customHeight="1" s="17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</row>
    <row r="702" ht="15.75" customHeight="1" s="17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</row>
    <row r="703" ht="15.75" customHeight="1" s="17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</row>
    <row r="704" ht="15.75" customHeight="1" s="17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</row>
    <row r="705" ht="15.75" customHeight="1" s="17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</row>
    <row r="706" ht="15.75" customHeight="1" s="17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</row>
    <row r="707" ht="15.75" customHeight="1" s="1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</row>
    <row r="708" ht="15.75" customHeight="1" s="17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</row>
    <row r="709" ht="15.75" customHeight="1" s="17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</row>
    <row r="710" ht="15.75" customHeight="1" s="17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</row>
    <row r="711" ht="15.75" customHeight="1" s="17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</row>
    <row r="712" ht="15.75" customHeight="1" s="17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</row>
    <row r="713" ht="15.75" customHeight="1" s="17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</row>
    <row r="714" ht="15.75" customHeight="1" s="17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</row>
    <row r="715" ht="15.75" customHeight="1" s="17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</row>
    <row r="716" ht="15.75" customHeight="1" s="17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</row>
    <row r="717" ht="15.75" customHeight="1" s="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</row>
    <row r="718" ht="15.75" customHeight="1" s="17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</row>
    <row r="719" ht="15.75" customHeight="1" s="17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</row>
    <row r="720" ht="15.75" customHeight="1" s="17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</row>
    <row r="721" ht="15.75" customHeight="1" s="17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</row>
    <row r="722" ht="15.75" customHeight="1" s="17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</row>
    <row r="723" ht="15.75" customHeight="1" s="17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</row>
    <row r="724" ht="15.75" customHeight="1" s="17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</row>
    <row r="725" ht="15.75" customHeight="1" s="17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</row>
    <row r="726" ht="15.75" customHeight="1" s="17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</row>
    <row r="727" ht="15.75" customHeight="1" s="1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</row>
    <row r="728" ht="15.75" customHeight="1" s="17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</row>
    <row r="729" ht="15.75" customHeight="1" s="17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</row>
    <row r="730" ht="15.75" customHeight="1" s="17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</row>
    <row r="731" ht="15.75" customHeight="1" s="17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</row>
    <row r="732" ht="15.75" customHeight="1" s="17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</row>
    <row r="733" ht="15.75" customHeight="1" s="17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</row>
    <row r="734" ht="15.75" customHeight="1" s="17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</row>
    <row r="735" ht="15.75" customHeight="1" s="17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</row>
    <row r="736" ht="15.75" customHeight="1" s="17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</row>
    <row r="737" ht="15.75" customHeight="1" s="1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</row>
    <row r="738" ht="15.75" customHeight="1" s="17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</row>
    <row r="739" ht="15.75" customHeight="1" s="17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</row>
    <row r="740" ht="15.75" customHeight="1" s="17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</row>
    <row r="741" ht="15.75" customHeight="1" s="17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</row>
    <row r="742" ht="15.75" customHeight="1" s="17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</row>
    <row r="743" ht="15.75" customHeight="1" s="17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</row>
    <row r="744" ht="15.75" customHeight="1" s="17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</row>
    <row r="745" ht="15.75" customHeight="1" s="17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</row>
    <row r="746" ht="15.75" customHeight="1" s="17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</row>
    <row r="747" ht="15.75" customHeight="1" s="1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</row>
    <row r="748" ht="15.75" customHeight="1" s="17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</row>
    <row r="749" ht="15.75" customHeight="1" s="17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</row>
    <row r="750" ht="15.75" customHeight="1" s="17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</row>
    <row r="751" ht="15.75" customHeight="1" s="17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</row>
    <row r="752" ht="15.75" customHeight="1" s="17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</row>
    <row r="753" ht="15.75" customHeight="1" s="17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</row>
    <row r="754" ht="15.75" customHeight="1" s="17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</row>
    <row r="755" ht="15.75" customHeight="1" s="17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</row>
    <row r="756" ht="15.75" customHeight="1" s="17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</row>
    <row r="757" ht="15.75" customHeight="1" s="1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</row>
    <row r="758" ht="15.75" customHeight="1" s="17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</row>
    <row r="759" ht="15.75" customHeight="1" s="17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</row>
    <row r="760" ht="15.75" customHeight="1" s="17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</row>
    <row r="761" ht="15.75" customHeight="1" s="17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</row>
    <row r="762" ht="15.75" customHeight="1" s="17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</row>
    <row r="763" ht="15.75" customHeight="1" s="17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</row>
    <row r="764" ht="15.75" customHeight="1" s="17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</row>
    <row r="765" ht="15.75" customHeight="1" s="17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</row>
    <row r="766" ht="15.75" customHeight="1" s="17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</row>
    <row r="767" ht="15.75" customHeight="1" s="1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</row>
    <row r="768" ht="15.75" customHeight="1" s="17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</row>
    <row r="769" ht="15.75" customHeight="1" s="17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</row>
    <row r="770" ht="15.75" customHeight="1" s="17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</row>
    <row r="771" ht="15.75" customHeight="1" s="17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</row>
    <row r="772" ht="15.75" customHeight="1" s="17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</row>
    <row r="773" ht="15.75" customHeight="1" s="17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</row>
    <row r="774" ht="15.75" customHeight="1" s="17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</row>
    <row r="775" ht="15.75" customHeight="1" s="17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</row>
    <row r="776" ht="15.75" customHeight="1" s="17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</row>
    <row r="777" ht="15.75" customHeight="1" s="1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</row>
    <row r="778" ht="15.75" customHeight="1" s="17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</row>
    <row r="779" ht="15.75" customHeight="1" s="17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</row>
    <row r="780" ht="15.75" customHeight="1" s="17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</row>
    <row r="781" ht="15.75" customHeight="1" s="17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</row>
    <row r="782" ht="15.75" customHeight="1" s="17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</row>
    <row r="783" ht="15.75" customHeight="1" s="17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</row>
    <row r="784" ht="15.75" customHeight="1" s="17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</row>
    <row r="785" ht="15.75" customHeight="1" s="17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</row>
    <row r="786" ht="15.75" customHeight="1" s="17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</row>
    <row r="787" ht="15.75" customHeight="1" s="1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</row>
    <row r="788" ht="15.75" customHeight="1" s="17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</row>
    <row r="789" ht="15.75" customHeight="1" s="17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</row>
    <row r="790" ht="15.75" customHeight="1" s="17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</row>
    <row r="791" ht="15.75" customHeight="1" s="17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</row>
    <row r="792" ht="15.75" customHeight="1" s="17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</row>
    <row r="793" ht="15.75" customHeight="1" s="17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</row>
    <row r="794" ht="15.75" customHeight="1" s="17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</row>
    <row r="795" ht="15.75" customHeight="1" s="17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</row>
    <row r="796" ht="15.75" customHeight="1" s="17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</row>
    <row r="797" ht="15.75" customHeight="1" s="1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</row>
    <row r="798" ht="15.75" customHeight="1" s="17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</row>
    <row r="799" ht="15.75" customHeight="1" s="17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</row>
    <row r="800" ht="15.75" customHeight="1" s="17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</row>
    <row r="801" ht="15.75" customHeight="1" s="17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</row>
    <row r="802" ht="15.75" customHeight="1" s="17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</row>
    <row r="803" ht="15.75" customHeight="1" s="17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</row>
    <row r="804" ht="15.75" customHeight="1" s="17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</row>
    <row r="805" ht="15.75" customHeight="1" s="17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</row>
    <row r="806" ht="15.75" customHeight="1" s="17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</row>
    <row r="807" ht="15.75" customHeight="1" s="1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</row>
    <row r="808" ht="15.75" customHeight="1" s="17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</row>
    <row r="809" ht="15.75" customHeight="1" s="17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</row>
    <row r="810" ht="15.75" customHeight="1" s="17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</row>
    <row r="811" ht="15.75" customHeight="1" s="17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</row>
    <row r="812" ht="15.75" customHeight="1" s="17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</row>
    <row r="813" ht="15.75" customHeight="1" s="17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</row>
    <row r="814" ht="15.75" customHeight="1" s="17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</row>
    <row r="815" ht="15.75" customHeight="1" s="17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</row>
    <row r="816" ht="15.75" customHeight="1" s="17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</row>
    <row r="817" ht="15.75" customHeight="1" s="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</row>
    <row r="818" ht="15.75" customHeight="1" s="17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</row>
    <row r="819" ht="15.75" customHeight="1" s="17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</row>
    <row r="820" ht="15.75" customHeight="1" s="17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</row>
    <row r="821" ht="15.75" customHeight="1" s="17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</row>
    <row r="822" ht="15.75" customHeight="1" s="17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</row>
    <row r="823" ht="15.75" customHeight="1" s="17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</row>
    <row r="824" ht="15.75" customHeight="1" s="17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</row>
    <row r="825" ht="15.75" customHeight="1" s="17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</row>
    <row r="826" ht="15.75" customHeight="1" s="17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</row>
    <row r="827" ht="15.75" customHeight="1" s="1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</row>
    <row r="828" ht="15.75" customHeight="1" s="17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</row>
    <row r="829" ht="15.75" customHeight="1" s="17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</row>
    <row r="830" ht="15.75" customHeight="1" s="17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</row>
    <row r="831" ht="15.75" customHeight="1" s="17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</row>
    <row r="832" ht="15.75" customHeight="1" s="17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</row>
    <row r="833" ht="15.75" customHeight="1" s="17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</row>
    <row r="834" ht="15.75" customHeight="1" s="17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</row>
    <row r="835" ht="15.75" customHeight="1" s="17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</row>
    <row r="836" ht="15.75" customHeight="1" s="17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</row>
    <row r="837" ht="15.75" customHeight="1" s="1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</row>
    <row r="838" ht="15.75" customHeight="1" s="17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</row>
    <row r="839" ht="15.75" customHeight="1" s="17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</row>
    <row r="840" ht="15.75" customHeight="1" s="17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</row>
    <row r="841" ht="15.75" customHeight="1" s="17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</row>
    <row r="842" ht="15.75" customHeight="1" s="17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</row>
    <row r="843" ht="15.75" customHeight="1" s="17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</row>
    <row r="844" ht="15.75" customHeight="1" s="17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</row>
    <row r="845" ht="15.75" customHeight="1" s="17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</row>
    <row r="846" ht="15.75" customHeight="1" s="17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</row>
    <row r="847" ht="15.75" customHeight="1" s="1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</row>
    <row r="848" ht="15.75" customHeight="1" s="17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</row>
    <row r="849" ht="15.75" customHeight="1" s="17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</row>
    <row r="850" ht="15.75" customHeight="1" s="17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</row>
    <row r="851" ht="15.75" customHeight="1" s="17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</row>
    <row r="852" ht="15.75" customHeight="1" s="17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</row>
    <row r="853" ht="15.75" customHeight="1" s="17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</row>
    <row r="854" ht="15.75" customHeight="1" s="17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</row>
    <row r="855" ht="15.75" customHeight="1" s="17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</row>
    <row r="856" ht="15.75" customHeight="1" s="17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</row>
    <row r="857" ht="15.75" customHeight="1" s="1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</row>
    <row r="858" ht="15.75" customHeight="1" s="17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</row>
    <row r="859" ht="15.75" customHeight="1" s="17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</row>
    <row r="860" ht="15.75" customHeight="1" s="17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</row>
    <row r="861" ht="15.75" customHeight="1" s="17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</row>
    <row r="862" ht="15.75" customHeight="1" s="17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</row>
    <row r="863" ht="15.75" customHeight="1" s="17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</row>
    <row r="864" ht="15.75" customHeight="1" s="17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</row>
    <row r="865" ht="15.75" customHeight="1" s="17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</row>
    <row r="866" ht="15.75" customHeight="1" s="17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</row>
    <row r="867" ht="15.75" customHeight="1" s="1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</row>
    <row r="868" ht="15.75" customHeight="1" s="17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</row>
    <row r="869" ht="15.75" customHeight="1" s="17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</row>
    <row r="870" ht="15.75" customHeight="1" s="17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</row>
    <row r="871" ht="15.75" customHeight="1" s="17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</row>
    <row r="872" ht="15.75" customHeight="1" s="17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</row>
    <row r="873" ht="15.75" customHeight="1" s="17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</row>
    <row r="874" ht="15.75" customHeight="1" s="17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</row>
    <row r="875" ht="15.75" customHeight="1" s="17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</row>
    <row r="876" ht="15.75" customHeight="1" s="17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</row>
    <row r="877" ht="15.75" customHeight="1" s="1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</row>
    <row r="878" ht="15.75" customHeight="1" s="17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</row>
    <row r="879" ht="15.75" customHeight="1" s="17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</row>
    <row r="880" ht="15.75" customHeight="1" s="17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</row>
    <row r="881" ht="15.75" customHeight="1" s="17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</row>
    <row r="882" ht="15.75" customHeight="1" s="17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</row>
    <row r="883" ht="15.75" customHeight="1" s="17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</row>
    <row r="884" ht="15.75" customHeight="1" s="17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</row>
    <row r="885" ht="15.75" customHeight="1" s="17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</row>
    <row r="886" ht="15.75" customHeight="1" s="17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</row>
    <row r="887" ht="15.75" customHeight="1" s="1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</row>
    <row r="888" ht="15.75" customHeight="1" s="17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</row>
    <row r="889" ht="15.75" customHeight="1" s="17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</row>
    <row r="890" ht="15.75" customHeight="1" s="17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</row>
    <row r="891" ht="15.75" customHeight="1" s="17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</row>
    <row r="892" ht="15.75" customHeight="1" s="17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</row>
    <row r="893" ht="15.75" customHeight="1" s="17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</row>
    <row r="894" ht="15.75" customHeight="1" s="17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</row>
    <row r="895" ht="15.75" customHeight="1" s="17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</row>
    <row r="896" ht="15.75" customHeight="1" s="17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</row>
    <row r="897" ht="15.75" customHeight="1" s="1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</row>
    <row r="898" ht="15.75" customHeight="1" s="17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</row>
    <row r="899" ht="15.75" customHeight="1" s="17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</row>
    <row r="900" ht="15.75" customHeight="1" s="17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</row>
    <row r="901" ht="15.75" customHeight="1" s="17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</row>
    <row r="902" ht="15.75" customHeight="1" s="17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</row>
    <row r="903" ht="15.75" customHeight="1" s="17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</row>
    <row r="904" ht="15.75" customHeight="1" s="17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</row>
    <row r="905" ht="15.75" customHeight="1" s="17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</row>
    <row r="906" ht="15.75" customHeight="1" s="17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</row>
    <row r="907" ht="15.75" customHeight="1" s="1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</row>
    <row r="908" ht="15.75" customHeight="1" s="17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</row>
    <row r="909" ht="15.75" customHeight="1" s="17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</row>
    <row r="910" ht="15.75" customHeight="1" s="17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</row>
    <row r="911" ht="15.75" customHeight="1" s="17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</row>
    <row r="912" ht="15.75" customHeight="1" s="17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</row>
    <row r="913" ht="15.75" customHeight="1" s="17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</row>
    <row r="914" ht="15.75" customHeight="1" s="17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</row>
    <row r="915" ht="15.75" customHeight="1" s="17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</row>
    <row r="916" ht="15.75" customHeight="1" s="17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</row>
    <row r="917" ht="15.75" customHeight="1" s="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</row>
    <row r="918" ht="15.75" customHeight="1" s="17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</row>
    <row r="919" ht="15.75" customHeight="1" s="17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</row>
    <row r="920" ht="15.75" customHeight="1" s="17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</row>
    <row r="921" ht="15.75" customHeight="1" s="17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</row>
    <row r="922" ht="15.75" customHeight="1" s="17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</row>
    <row r="923" ht="15.75" customHeight="1" s="17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</row>
    <row r="924" ht="15.75" customHeight="1" s="17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</row>
    <row r="925" ht="15.75" customHeight="1" s="17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</row>
    <row r="926" ht="15.75" customHeight="1" s="17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</row>
    <row r="927" ht="15.75" customHeight="1" s="1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</row>
    <row r="928" ht="15.75" customHeight="1" s="17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</row>
    <row r="929" ht="15.75" customHeight="1" s="17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</row>
    <row r="930" ht="15.75" customHeight="1" s="17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</row>
    <row r="931" ht="15.75" customHeight="1" s="17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</row>
    <row r="932" ht="15.75" customHeight="1" s="17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</row>
    <row r="933" ht="15.75" customHeight="1" s="17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</row>
    <row r="934" ht="15.75" customHeight="1" s="17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</row>
    <row r="935" ht="15.75" customHeight="1" s="17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</row>
    <row r="936" ht="15.75" customHeight="1" s="17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</row>
    <row r="937" ht="15.75" customHeight="1" s="1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</row>
    <row r="938" ht="15.75" customHeight="1" s="17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</row>
    <row r="939" ht="15.75" customHeight="1" s="17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</row>
    <row r="940" ht="15.75" customHeight="1" s="17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</row>
    <row r="941" ht="15.75" customHeight="1" s="17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</row>
    <row r="942" ht="15.75" customHeight="1" s="17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</row>
    <row r="943" ht="15.75" customHeight="1" s="17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</row>
    <row r="944" ht="15.75" customHeight="1" s="17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</row>
    <row r="945" ht="15.75" customHeight="1" s="17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</row>
    <row r="946" ht="15.75" customHeight="1" s="17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</row>
    <row r="947" ht="15.75" customHeight="1" s="1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</row>
    <row r="948" ht="15.75" customHeight="1" s="17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</row>
    <row r="949" ht="15.75" customHeight="1" s="17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</row>
    <row r="950" ht="15.75" customHeight="1" s="17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</row>
    <row r="951" ht="15.75" customHeight="1" s="17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</row>
    <row r="952" ht="15.75" customHeight="1" s="17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</row>
    <row r="953" ht="15.75" customHeight="1" s="17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</row>
    <row r="954" ht="15.75" customHeight="1" s="17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</row>
    <row r="955" ht="15.75" customHeight="1" s="17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</row>
    <row r="956" ht="15.75" customHeight="1" s="17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</row>
    <row r="957" ht="15.75" customHeight="1" s="1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</row>
    <row r="958" ht="15.75" customHeight="1" s="17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</row>
    <row r="959" ht="15.75" customHeight="1" s="17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</row>
    <row r="960" ht="15.75" customHeight="1" s="17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</row>
    <row r="961" ht="15.75" customHeight="1" s="17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</row>
    <row r="962" ht="15.75" customHeight="1" s="17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</row>
    <row r="963" ht="15.75" customHeight="1" s="17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</row>
    <row r="964" ht="15.75" customHeight="1" s="17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</row>
    <row r="965" ht="15.75" customHeight="1" s="17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</row>
    <row r="966" ht="15.75" customHeight="1" s="17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</row>
    <row r="967" ht="15.75" customHeight="1" s="1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</row>
    <row r="968" ht="15.75" customHeight="1" s="17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</row>
    <row r="969" ht="15.75" customHeight="1" s="17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</row>
    <row r="970" ht="15.75" customHeight="1" s="17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</row>
    <row r="971" ht="15.75" customHeight="1" s="17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</row>
    <row r="972" ht="15.75" customHeight="1" s="17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</row>
    <row r="973" ht="15.75" customHeight="1" s="17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</row>
    <row r="974" ht="15.75" customHeight="1" s="17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</row>
    <row r="975" ht="15.75" customHeight="1" s="17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</row>
    <row r="976" ht="15.75" customHeight="1" s="17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</row>
    <row r="977" ht="15.75" customHeight="1" s="1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</row>
    <row r="978" ht="15.75" customHeight="1" s="17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</row>
    <row r="979" ht="15.75" customHeight="1" s="17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</row>
    <row r="980" ht="15.75" customHeight="1" s="17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</row>
    <row r="981" ht="15.75" customHeight="1" s="17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</row>
    <row r="982" ht="15.75" customHeight="1" s="17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</row>
    <row r="983" ht="15.75" customHeight="1" s="17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</row>
    <row r="984" ht="15.75" customHeight="1" s="17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</row>
    <row r="985" ht="15.75" customHeight="1" s="17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</row>
    <row r="986" ht="15.75" customHeight="1" s="17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</row>
    <row r="987" ht="15.75" customHeight="1" s="1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</row>
    <row r="988" ht="15.75" customHeight="1" s="17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</row>
    <row r="989" ht="15.75" customHeight="1" s="17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</row>
    <row r="990" ht="15.75" customHeight="1" s="17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</row>
    <row r="991" ht="15.75" customHeight="1" s="17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</row>
    <row r="992" ht="15.75" customHeight="1" s="17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</row>
    <row r="993" ht="15.75" customHeight="1" s="17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</row>
    <row r="994" ht="15.75" customHeight="1" s="17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</row>
    <row r="995" ht="15.75" customHeight="1" s="17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</row>
    <row r="996" ht="15.75" customHeight="1" s="17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</row>
    <row r="997" ht="15.75" customHeight="1" s="1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</row>
    <row r="998" ht="15.75" customHeight="1" s="17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</row>
    <row r="999" ht="15.75" customHeight="1" s="17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</row>
    <row r="1000" ht="15.75" customHeight="1" s="17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</row>
    <row r="1001">
      <c r="A1001" s="0" t="inlineStr">
        <is>
          <t>https://solderpoint.ru/</t>
        </is>
      </c>
      <c r="B1001" s="0" t="inlineStr">
        <is>
          <t>Контрактное производство и разработка электроники</t>
        </is>
      </c>
      <c r="C1001" s="0" t="inlineStr">
        <is>
          <t>Контрактное производство и разработка электроники</t>
        </is>
      </c>
      <c r="D1001" s="0" t="inlineStr"/>
      <c r="E1001" s="0" t="inlineStr">
        <is>
          <t>solderpoint.ru</t>
        </is>
      </c>
      <c r="F1001" s="0" t="inlineStr">
        <is>
          <t>статья / гайд</t>
        </is>
      </c>
      <c r="G1001" s="0" t="inlineStr">
        <is>
          <t>Прочее</t>
        </is>
      </c>
      <c r="H1001" s="0" t="inlineStr"/>
      <c r="I1001" s="0" t="inlineStr">
        <is>
          <t>собрано</t>
        </is>
      </c>
    </row>
    <row r="1002">
      <c r="A1002" s="0" t="inlineStr">
        <is>
          <t>https://solderpoint.ru/dokumentacziya</t>
        </is>
      </c>
      <c r="B1002" s="0" t="inlineStr">
        <is>
          <t>требования к документации</t>
        </is>
      </c>
      <c r="C1002" s="0" t="inlineStr">
        <is>
          <t>требования к документации</t>
        </is>
      </c>
      <c r="D1002" s="0" t="inlineStr"/>
      <c r="E1002" s="0" t="inlineStr">
        <is>
          <t>solderpoint.ru</t>
        </is>
      </c>
      <c r="F1002" s="0" t="inlineStr">
        <is>
          <t>статья / гайд</t>
        </is>
      </c>
      <c r="G1002" s="0" t="inlineStr">
        <is>
          <t>Прочее</t>
        </is>
      </c>
      <c r="H1002" s="0" t="inlineStr"/>
      <c r="I1002" s="0" t="inlineStr">
        <is>
          <t>собрано</t>
        </is>
      </c>
    </row>
    <row r="1003">
      <c r="A1003" s="0" t="inlineStr">
        <is>
          <t>https://solderpoint.ru/montazh-pechatnyx-plat</t>
        </is>
      </c>
      <c r="B1003" s="0" t="inlineStr">
        <is>
          <t>Сборка и монтаж печатных плат под заказ в Москве</t>
        </is>
      </c>
      <c r="C1003" s="0" t="inlineStr">
        <is>
          <t>Сборка и монтаж печатных плат под заказ в Москве</t>
        </is>
      </c>
      <c r="D1003" s="0" t="inlineStr"/>
      <c r="E1003" s="0" t="inlineStr">
        <is>
          <t>solderpoint.ru</t>
        </is>
      </c>
      <c r="F1003" s="0" t="inlineStr">
        <is>
          <t>статья / гайд</t>
        </is>
      </c>
      <c r="G1003" s="0" t="inlineStr">
        <is>
          <t>Прочее</t>
        </is>
      </c>
      <c r="H1003" s="0" t="inlineStr"/>
      <c r="I1003" s="0" t="inlineStr">
        <is>
          <t>собрано</t>
        </is>
      </c>
    </row>
    <row r="1004">
      <c r="A1004" s="0" t="inlineStr">
        <is>
          <t>https://solderpoint.ru/montazh-pechatnyx-plat/smd-montazh</t>
        </is>
      </c>
      <c r="B1004" s="0" t="inlineStr">
        <is>
          <t>SMD (SMT) монтаж печатных плат в Москве</t>
        </is>
      </c>
      <c r="C1004" s="0" t="inlineStr">
        <is>
          <t>SMD (SMT) монтаж печатных плат в Москве</t>
        </is>
      </c>
      <c r="D1004" s="0" t="inlineStr"/>
      <c r="E1004" s="0" t="inlineStr">
        <is>
          <t>solderpoint.ru</t>
        </is>
      </c>
      <c r="F1004" s="0" t="inlineStr">
        <is>
          <t>статья / гайд</t>
        </is>
      </c>
      <c r="G1004" s="0" t="inlineStr">
        <is>
          <t>Типы компонентов / SMD</t>
        </is>
      </c>
      <c r="H1004" s="0" t="inlineStr"/>
      <c r="I1004" s="0" t="inlineStr">
        <is>
          <t>собрано</t>
        </is>
      </c>
    </row>
    <row r="1005">
      <c r="A1005" s="0" t="inlineStr">
        <is>
          <t>https://solderpoint.ru/montazh-pechatnyx-plat/smd-montazh/smd-ruchnoj</t>
        </is>
      </c>
      <c r="B1005" s="0" t="inlineStr">
        <is>
          <t>Ручной SMD монтаж печатных плат в Москве</t>
        </is>
      </c>
      <c r="C1005" s="0" t="inlineStr">
        <is>
          <t>Ручной SMD монтаж печатных плат в Москве</t>
        </is>
      </c>
      <c r="D1005" s="0" t="inlineStr"/>
      <c r="E1005" s="0" t="inlineStr">
        <is>
          <t>solderpoint.ru</t>
        </is>
      </c>
      <c r="F1005" s="0" t="inlineStr">
        <is>
          <t>статья / гайд</t>
        </is>
      </c>
      <c r="G1005" s="0" t="inlineStr">
        <is>
          <t>Типы компонентов / SMD</t>
        </is>
      </c>
      <c r="H1005" s="0" t="inlineStr"/>
      <c r="I1005" s="0" t="inlineStr">
        <is>
          <t>собрано</t>
        </is>
      </c>
    </row>
    <row r="1006">
      <c r="A1006" s="0" t="inlineStr">
        <is>
          <t>https://solderpoint.ru/montazh-pechatnyx-plat/vyvodnoj-dip</t>
        </is>
      </c>
      <c r="B1006" s="0" t="inlineStr">
        <is>
          <t>Выводной (DIP, THT) монтаж печатных плат в Москве</t>
        </is>
      </c>
      <c r="C1006" s="0" t="inlineStr">
        <is>
          <t>Выводной (DIP, THT) монтаж печатных плат в Москве</t>
        </is>
      </c>
      <c r="D1006" s="0" t="inlineStr"/>
      <c r="E1006" s="0" t="inlineStr">
        <is>
          <t>solderpoint.ru</t>
        </is>
      </c>
      <c r="F1006" s="0" t="inlineStr">
        <is>
          <t>статья / гайд</t>
        </is>
      </c>
      <c r="G1006" s="0" t="inlineStr">
        <is>
          <t>Прочее</t>
        </is>
      </c>
      <c r="H1006" s="0" t="inlineStr"/>
      <c r="I1006" s="0" t="inlineStr">
        <is>
          <t>собрано</t>
        </is>
      </c>
    </row>
    <row r="1007">
      <c r="A1007" s="0" t="inlineStr">
        <is>
          <t>https://solderpoint.ru/info/trebovaniya-k-dokumentacii</t>
        </is>
      </c>
      <c r="B1007" s="0" t="inlineStr">
        <is>
          <t>требования к документации</t>
        </is>
      </c>
      <c r="C1007" s="0" t="inlineStr">
        <is>
          <t>требования к документации</t>
        </is>
      </c>
      <c r="D1007" s="0" t="inlineStr"/>
      <c r="E1007" s="0" t="inlineStr">
        <is>
          <t>solderpoint.ru</t>
        </is>
      </c>
      <c r="F1007" s="0" t="inlineStr">
        <is>
          <t>статья / гайд</t>
        </is>
      </c>
      <c r="G1007" s="0" t="inlineStr">
        <is>
          <t>Прочее</t>
        </is>
      </c>
      <c r="H1007" s="0" t="inlineStr"/>
      <c r="I1007" s="0" t="inlineStr">
        <is>
          <t>собрано</t>
        </is>
      </c>
    </row>
    <row r="1008">
      <c r="A1008" s="0" t="inlineStr">
        <is>
          <t>https://solderpoint.ru/blog/montazh-pechatnyx-plat-gost</t>
        </is>
      </c>
      <c r="B1008" s="0" t="inlineStr">
        <is>
          <t>Монтаж печатных плат ГОСТ</t>
        </is>
      </c>
      <c r="C1008" s="0" t="inlineStr">
        <is>
          <t>Монтаж печатных плат ГОСТ</t>
        </is>
      </c>
      <c r="D1008" s="0" t="inlineStr"/>
      <c r="E1008" s="0" t="inlineStr">
        <is>
          <t>solderpoint.ru</t>
        </is>
      </c>
      <c r="F1008" s="0" t="inlineStr">
        <is>
          <t>статья / гайд</t>
        </is>
      </c>
      <c r="G1008" s="0" t="inlineStr">
        <is>
          <t>Прочее</t>
        </is>
      </c>
      <c r="H1008" s="0" t="inlineStr"/>
      <c r="I1008" s="0" t="inlineStr">
        <is>
          <t>собрано</t>
        </is>
      </c>
    </row>
    <row r="1009">
      <c r="A1009" s="0" t="inlineStr">
        <is>
          <t>https://solderpoint.ru/blog/reflou-pajka-temperaturnyie-profili-i-kontrol-kachestva</t>
        </is>
      </c>
      <c r="B1009" s="0" t="inlineStr">
        <is>
          <t>Рефлоу пайка: температурные профили и контроль качества</t>
        </is>
      </c>
      <c r="C1009" s="0" t="inlineStr">
        <is>
          <t>Рефлоу пайка: температурные профили и контроль качества</t>
        </is>
      </c>
      <c r="D1009" s="0" t="inlineStr"/>
      <c r="E1009" s="0" t="inlineStr">
        <is>
          <t>solderpoint.ru</t>
        </is>
      </c>
      <c r="F1009" s="0" t="inlineStr">
        <is>
          <t>сравнение</t>
        </is>
      </c>
      <c r="G1009" s="0" t="inlineStr">
        <is>
          <t>Прочее</t>
        </is>
      </c>
      <c r="H1009" s="0" t="inlineStr"/>
      <c r="I1009" s="0" t="inlineStr">
        <is>
          <t>собрано</t>
        </is>
      </c>
    </row>
    <row r="1010">
      <c r="A1010" s="0" t="inlineStr">
        <is>
          <t>https://solderpoint.ru/blog/raznicza-mezhdu-svinczovyim-i-bessvinczovyim-pripoem</t>
        </is>
      </c>
      <c r="B1010" s="0" t="inlineStr">
        <is>
          <t>Разница между свинцовым и бессвинцовым припоем</t>
        </is>
      </c>
      <c r="C1010" s="0" t="inlineStr">
        <is>
          <t>Разница между свинцовым и бессвинцовым припоем</t>
        </is>
      </c>
      <c r="D1010" s="0" t="inlineStr"/>
      <c r="E1010" s="0" t="inlineStr">
        <is>
          <t>solderpoint.ru</t>
        </is>
      </c>
      <c r="F1010" s="0" t="inlineStr">
        <is>
          <t>сравнение</t>
        </is>
      </c>
      <c r="G1010" s="0" t="inlineStr">
        <is>
          <t>Материалы / Припои</t>
        </is>
      </c>
      <c r="H1010" s="0" t="inlineStr"/>
      <c r="I1010" s="0" t="inlineStr">
        <is>
          <t>собрано</t>
        </is>
      </c>
    </row>
    <row r="1011">
      <c r="A1011" s="0" t="inlineStr">
        <is>
          <t>https://solderpoint.ru/blog/kak-solderpoint-obespechivaet-stabilnoe-kachestvo-sborki</t>
        </is>
      </c>
      <c r="B1011" s="0" t="inlineStr">
        <is>
          <t>Как SolderPoint обеспечивает стабильное качество сборки</t>
        </is>
      </c>
      <c r="C1011" s="0" t="inlineStr">
        <is>
          <t>Как SolderPoint обеспечивает стабильное качество сборки</t>
        </is>
      </c>
      <c r="D1011" s="0" t="inlineStr"/>
      <c r="E1011" s="0" t="inlineStr">
        <is>
          <t>solderpoint.ru</t>
        </is>
      </c>
      <c r="F1011" s="0" t="inlineStr">
        <is>
          <t>инструкция</t>
        </is>
      </c>
      <c r="G1011" s="0" t="inlineStr">
        <is>
          <t>Прочее</t>
        </is>
      </c>
      <c r="H1011" s="0" t="inlineStr"/>
      <c r="I1011" s="0" t="inlineStr">
        <is>
          <t>собрано</t>
        </is>
      </c>
    </row>
    <row r="1012">
      <c r="A1012" s="0" t="inlineStr">
        <is>
          <t>https://solderpoint.ru/blog/kak-provoditsya-elektricheskoe-testirovanie-sobrannyix-plat</t>
        </is>
      </c>
      <c r="B1012" s="0" t="inlineStr">
        <is>
          <t>Как проводится электрическое тестирование собранных плат</t>
        </is>
      </c>
      <c r="C1012" s="0" t="inlineStr">
        <is>
          <t>Как проводится электрическое тестирование собранных плат</t>
        </is>
      </c>
      <c r="D1012" s="0" t="inlineStr"/>
      <c r="E1012" s="0" t="inlineStr">
        <is>
          <t>solderpoint.ru</t>
        </is>
      </c>
      <c r="F1012" s="0" t="inlineStr">
        <is>
          <t>инструкция</t>
        </is>
      </c>
      <c r="G1012" s="0" t="inlineStr">
        <is>
          <t>Прочее</t>
        </is>
      </c>
      <c r="H1012" s="0" t="inlineStr"/>
      <c r="I1012" s="0" t="inlineStr">
        <is>
          <t>собрано</t>
        </is>
      </c>
    </row>
    <row r="1013">
      <c r="A1013" s="0" t="inlineStr">
        <is>
          <t>https://solderpoint.ru/blog/otbrakovka-i-remont-chto-delat-s-defektnyimi-platami</t>
        </is>
      </c>
      <c r="B1013" s="0" t="inlineStr">
        <is>
          <t>Отбраковка и ремонт: что делать с дефектными платами</t>
        </is>
      </c>
      <c r="C1013" s="0" t="inlineStr">
        <is>
          <t>Отбраковка и ремонт: что делать с дефектными платами</t>
        </is>
      </c>
      <c r="D1013" s="0" t="inlineStr"/>
      <c r="E1013" s="0" t="inlineStr">
        <is>
          <t>solderpoint.ru</t>
        </is>
      </c>
      <c r="F1013" s="0" t="inlineStr">
        <is>
          <t>топ ошибок / проблема-решение</t>
        </is>
      </c>
      <c r="G1013" s="0" t="inlineStr">
        <is>
          <t>Ошибки / Проблемы новичка</t>
        </is>
      </c>
      <c r="H1013" s="0" t="inlineStr"/>
      <c r="I1013" s="0" t="inlineStr">
        <is>
          <t>собрано</t>
        </is>
      </c>
    </row>
    <row r="1014">
      <c r="A1014" s="0" t="inlineStr">
        <is>
          <t>https://solderpoint.ru/info/usloviya-dostavki</t>
        </is>
      </c>
      <c r="B1014" s="0" t="inlineStr">
        <is>
          <t>Условия доставки</t>
        </is>
      </c>
      <c r="C1014" s="0" t="inlineStr">
        <is>
          <t>Условия доставки</t>
        </is>
      </c>
      <c r="D1014" s="0" t="inlineStr"/>
      <c r="E1014" s="0" t="inlineStr">
        <is>
          <t>solderpoint.ru</t>
        </is>
      </c>
      <c r="F1014" s="0" t="inlineStr">
        <is>
          <t>статья / гайд</t>
        </is>
      </c>
      <c r="G1014" s="0" t="inlineStr">
        <is>
          <t>Прочее</t>
        </is>
      </c>
      <c r="H1014" s="0" t="inlineStr"/>
      <c r="I1014" s="0" t="inlineStr">
        <is>
          <t>собрано</t>
        </is>
      </c>
    </row>
    <row r="1015">
      <c r="A1015" s="0" t="inlineStr">
        <is>
          <t>https://solderpoint.ru/montazh-pechatnyx-plat/bga-montazh-plat</t>
        </is>
      </c>
      <c r="B1015" s="0" t="inlineStr">
        <is>
          <t>BGA монтаж печатных плат в Москве</t>
        </is>
      </c>
      <c r="C1015" s="0" t="inlineStr">
        <is>
          <t>BGA монтаж печатных плат в Москве</t>
        </is>
      </c>
      <c r="D1015" s="0" t="inlineStr"/>
      <c r="E1015" s="0" t="inlineStr">
        <is>
          <t>solderpoint.ru</t>
        </is>
      </c>
      <c r="F1015" s="0" t="inlineStr">
        <is>
          <t>статья / гайд</t>
        </is>
      </c>
      <c r="G1015" s="0" t="inlineStr">
        <is>
          <t>Типы компонентов / SMD</t>
        </is>
      </c>
      <c r="H1015" s="0" t="inlineStr"/>
      <c r="I1015" s="0" t="inlineStr">
        <is>
          <t>собрано</t>
        </is>
      </c>
    </row>
    <row r="1016">
      <c r="A1016" s="0" t="inlineStr">
        <is>
          <t>https://solderpoint.ru/blog/poverxnostnyj-montazh-gost</t>
        </is>
      </c>
      <c r="B1016" s="0" t="inlineStr">
        <is>
          <t>Поверхностный монтаж ГОСТ</t>
        </is>
      </c>
      <c r="C1016" s="0" t="inlineStr">
        <is>
          <t>Поверхностный монтаж ГОСТ</t>
        </is>
      </c>
      <c r="D1016" s="0" t="inlineStr"/>
      <c r="E1016" s="0" t="inlineStr">
        <is>
          <t>solderpoint.ru</t>
        </is>
      </c>
      <c r="F1016" s="0" t="inlineStr">
        <is>
          <t>статья / гайд</t>
        </is>
      </c>
      <c r="G1016" s="0" t="inlineStr">
        <is>
          <t>Прочее</t>
        </is>
      </c>
      <c r="H1016" s="0" t="inlineStr"/>
      <c r="I1016" s="0" t="inlineStr">
        <is>
          <t>собрано</t>
        </is>
      </c>
    </row>
    <row r="1017">
      <c r="A1017" s="0" t="inlineStr">
        <is>
          <t>https://solderpoint.ru/otzyivyi-klientov</t>
        </is>
      </c>
      <c r="B1017" s="0" t="inlineStr">
        <is>
          <t>ОТЗЫВЫ КЛИЕНТОВ</t>
        </is>
      </c>
      <c r="C1017" s="0" t="inlineStr">
        <is>
          <t>ОТЗЫВЫ КЛИЕНТОВ</t>
        </is>
      </c>
      <c r="D1017" s="0" t="inlineStr"/>
      <c r="E1017" s="0" t="inlineStr">
        <is>
          <t>solderpoint.ru</t>
        </is>
      </c>
      <c r="F1017" s="0" t="inlineStr">
        <is>
          <t>статья / гайд</t>
        </is>
      </c>
      <c r="G1017" s="0" t="inlineStr">
        <is>
          <t>Прочее</t>
        </is>
      </c>
      <c r="H1017" s="0" t="inlineStr"/>
      <c r="I1017" s="0" t="inlineStr">
        <is>
          <t>собрано</t>
        </is>
      </c>
    </row>
    <row r="1018">
      <c r="A1018" s="0" t="inlineStr">
        <is>
          <t>https://solderpoint.ru/o-kompanii</t>
        </is>
      </c>
      <c r="B1018" s="0" t="inlineStr">
        <is>
          <t>О компании</t>
        </is>
      </c>
      <c r="C1018" s="0" t="inlineStr">
        <is>
          <t>О компании</t>
        </is>
      </c>
      <c r="D1018" s="0" t="inlineStr"/>
      <c r="E1018" s="0" t="inlineStr">
        <is>
          <t>solderpoint.ru</t>
        </is>
      </c>
      <c r="F1018" s="0" t="inlineStr">
        <is>
          <t>статья / гайд</t>
        </is>
      </c>
      <c r="G1018" s="0" t="inlineStr">
        <is>
          <t>Прочее</t>
        </is>
      </c>
      <c r="H1018" s="0" t="inlineStr"/>
      <c r="I1018" s="0" t="inlineStr">
        <is>
          <t>собрано</t>
        </is>
      </c>
    </row>
    <row r="1019">
      <c r="A1019" s="0" t="inlineStr">
        <is>
          <t>https://solderpoint.ru/partnery-i-klienty</t>
        </is>
      </c>
      <c r="B1019" s="0" t="inlineStr">
        <is>
          <t>Партнеры и клиенты</t>
        </is>
      </c>
      <c r="C1019" s="0" t="inlineStr">
        <is>
          <t>Партнеры и клиенты</t>
        </is>
      </c>
      <c r="D1019" s="0" t="inlineStr"/>
      <c r="E1019" s="0" t="inlineStr">
        <is>
          <t>solderpoint.ru</t>
        </is>
      </c>
      <c r="F1019" s="0" t="inlineStr">
        <is>
          <t>статья / гайд</t>
        </is>
      </c>
      <c r="G1019" s="0" t="inlineStr">
        <is>
          <t>Прочее</t>
        </is>
      </c>
      <c r="H1019" s="0" t="inlineStr"/>
      <c r="I1019" s="0" t="inlineStr">
        <is>
          <t>собрано</t>
        </is>
      </c>
    </row>
    <row r="1020">
      <c r="A1020" s="0" t="inlineStr">
        <is>
          <t>https://solderpoint.ru/blog/vidy-poverxnostnogo-montazha</t>
        </is>
      </c>
      <c r="B1020" s="0" t="inlineStr">
        <is>
          <t>Виды поверхностного монтажа</t>
        </is>
      </c>
      <c r="C1020" s="0" t="inlineStr">
        <is>
          <t>Виды поверхностного монтажа</t>
        </is>
      </c>
      <c r="D1020" s="0" t="inlineStr"/>
      <c r="E1020" s="0" t="inlineStr">
        <is>
          <t>solderpoint.ru</t>
        </is>
      </c>
      <c r="F1020" s="0" t="inlineStr">
        <is>
          <t>обучающий / что такое</t>
        </is>
      </c>
      <c r="G1020" s="0" t="inlineStr">
        <is>
          <t>Прочее</t>
        </is>
      </c>
      <c r="H1020" s="0" t="inlineStr"/>
      <c r="I1020" s="0" t="inlineStr">
        <is>
          <t>собрано</t>
        </is>
      </c>
    </row>
  </sheetData>
  <hyperlinks>
    <hyperlink xmlns:r="http://schemas.openxmlformats.org/officeDocument/2006/relationships" ref="A36" r:id="rId1"/>
    <hyperlink xmlns:r="http://schemas.openxmlformats.org/officeDocument/2006/relationships" ref="E36" r:id="rId2"/>
    <hyperlink xmlns:r="http://schemas.openxmlformats.org/officeDocument/2006/relationships" ref="A37" r:id="rId3"/>
    <hyperlink xmlns:r="http://schemas.openxmlformats.org/officeDocument/2006/relationships" ref="E37" r:id="rId4"/>
    <hyperlink xmlns:r="http://schemas.openxmlformats.org/officeDocument/2006/relationships" ref="A38" r:id="rId5"/>
    <hyperlink xmlns:r="http://schemas.openxmlformats.org/officeDocument/2006/relationships" ref="E38" r:id="rId6"/>
    <hyperlink xmlns:r="http://schemas.openxmlformats.org/officeDocument/2006/relationships" ref="A39" r:id="rId7"/>
    <hyperlink xmlns:r="http://schemas.openxmlformats.org/officeDocument/2006/relationships" ref="E39" r:id="rId8"/>
    <hyperlink xmlns:r="http://schemas.openxmlformats.org/officeDocument/2006/relationships" ref="A40" r:id="rId9"/>
    <hyperlink xmlns:r="http://schemas.openxmlformats.org/officeDocument/2006/relationships" ref="E40" r:id="rId10"/>
    <hyperlink xmlns:r="http://schemas.openxmlformats.org/officeDocument/2006/relationships" ref="A41" r:id="rId11"/>
    <hyperlink xmlns:r="http://schemas.openxmlformats.org/officeDocument/2006/relationships" ref="E41" r:id="rId12"/>
    <hyperlink xmlns:r="http://schemas.openxmlformats.org/officeDocument/2006/relationships" ref="A42" r:id="rId13"/>
    <hyperlink xmlns:r="http://schemas.openxmlformats.org/officeDocument/2006/relationships" ref="E42" r:id="rId14"/>
    <hyperlink xmlns:r="http://schemas.openxmlformats.org/officeDocument/2006/relationships" ref="A43" r:id="rId15"/>
    <hyperlink xmlns:r="http://schemas.openxmlformats.org/officeDocument/2006/relationships" ref="E43" r:id="rId16"/>
    <hyperlink xmlns:r="http://schemas.openxmlformats.org/officeDocument/2006/relationships" ref="A44" r:id="rId17"/>
    <hyperlink xmlns:r="http://schemas.openxmlformats.org/officeDocument/2006/relationships" ref="E44" r:id="rId18"/>
    <hyperlink xmlns:r="http://schemas.openxmlformats.org/officeDocument/2006/relationships" ref="A45" r:id="rId19"/>
    <hyperlink xmlns:r="http://schemas.openxmlformats.org/officeDocument/2006/relationships" ref="E45" r:id="rId20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7" min="1" max="9"/>
  </cols>
  <sheetData>
    <row r="1">
      <c r="A1" s="2" t="inlineStr">
        <is>
          <t>кластер</t>
        </is>
      </c>
      <c r="B1" s="2" t="inlineStr">
        <is>
          <t>описание</t>
        </is>
      </c>
      <c r="C1" s="2" t="inlineStr">
        <is>
          <t>ключевые темы</t>
        </is>
      </c>
      <c r="D1" s="2" t="inlineStr">
        <is>
          <t>кол-во тем в плане</t>
        </is>
      </c>
      <c r="E1" s="2" t="inlineStr">
        <is>
          <t>тип статьи</t>
        </is>
      </c>
      <c r="F1" s="2" t="inlineStr">
        <is>
          <t>приоритет</t>
        </is>
      </c>
      <c r="G1" s="2" t="inlineStr">
        <is>
          <t>конкуренты</t>
        </is>
      </c>
      <c r="H1" s="2" t="inlineStr">
        <is>
          <t>пробел</t>
        </is>
      </c>
      <c r="I1" s="2" t="inlineStr">
        <is>
          <t>статус</t>
        </is>
      </c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2" t="inlineStr">
        <is>
          <t>Основы пайки / Как паять</t>
        </is>
      </c>
      <c r="B2" s="2" t="inlineStr">
        <is>
          <t>Базовые гайды для новичков: процесс пайки от начала до конца</t>
        </is>
      </c>
      <c r="C2" s="2" t="inlineStr">
        <is>
          <t>как паять, техника пайки, пайка для начинающих, как правильно паять, пайка проводов</t>
        </is>
      </c>
      <c r="D2" s="2" t="n">
        <v>5</v>
      </c>
      <c r="E2" s="2" t="inlineStr">
        <is>
          <t>гайд для новичков</t>
        </is>
      </c>
      <c r="F2" s="2" t="inlineStr">
        <is>
          <t>🔴 Высокий</t>
        </is>
      </c>
      <c r="G2" s="2" t="inlineStr">
        <is>
          <t>dns-shop.ru, vseinstrumenti.ru, habr.com, sea.com.ua, AlexGyver (YouTube)</t>
        </is>
      </c>
      <c r="H2" s="2" t="inlineStr">
        <is>
          <t>У конкурентов нет пошагового гайда с фото + разбором физики процесса на нишевом магазине</t>
        </is>
      </c>
      <c r="I2" s="2" t="inlineStr">
        <is>
          <t>не начато</t>
        </is>
      </c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2" t="inlineStr">
        <is>
          <t>Инструменты / Выбор паяльника</t>
        </is>
      </c>
      <c r="B3" s="2" t="inlineStr">
        <is>
          <t>Как выбрать паяльник: типы, мощность, станции, беспроводные модели</t>
        </is>
      </c>
      <c r="C3" s="2" t="inlineStr">
        <is>
          <t>какой паяльник выбрать, лучший паяльник, паяльник для новичка, паяльная станция, мощность паяльника</t>
        </is>
      </c>
      <c r="D3" s="2" t="n">
        <v>5</v>
      </c>
      <c r="E3" s="2" t="inlineStr">
        <is>
          <t>buyer's guide</t>
        </is>
      </c>
      <c r="F3" s="2" t="inlineStr">
        <is>
          <t>🔴 Высокий</t>
        </is>
      </c>
      <c r="G3" s="2" t="inlineStr">
        <is>
          <t>xakep.ru, t-j.ru, alexgyver.ru</t>
        </is>
      </c>
      <c r="H3" s="2" t="inlineStr">
        <is>
          <t>Нет актуального гайда выбора с моделями 2025-2026 на нишевом сайте; alexgyver.ru даёт подборку без сравнения</t>
        </is>
      </c>
      <c r="I3" s="2" t="inlineStr">
        <is>
          <t>не начато</t>
        </is>
      </c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2" t="inlineStr">
        <is>
          <t>Материалы / Припои</t>
        </is>
      </c>
      <c r="B4" s="2" t="inlineStr">
        <is>
          <t>Виды припоев: свинцовые, бессвинцовые, диаметр, маркировки</t>
        </is>
      </c>
      <c r="C4" s="2" t="inlineStr">
        <is>
          <t>припой для пайки, какой припой выбрать, ПОС-61, ПОС-40, SAC305, бессвинцовый припой</t>
        </is>
      </c>
      <c r="D4" s="2" t="n">
        <v>5</v>
      </c>
      <c r="E4" s="2" t="inlineStr">
        <is>
          <t>гайд / обучающий</t>
        </is>
      </c>
      <c r="F4" s="2" t="inlineStr">
        <is>
          <t>🔴 Высокий</t>
        </is>
      </c>
      <c r="G4" s="2" t="inlineStr">
        <is>
          <t>нет сильного контента в РФ</t>
        </is>
      </c>
      <c r="H4" s="2" t="inlineStr">
        <is>
          <t>Практически нет доступного контента для новичков на русском языке</t>
        </is>
      </c>
      <c r="I4" s="2" t="inlineStr">
        <is>
          <t>не начато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2" t="inlineStr">
        <is>
          <t>Материалы / Флюсы</t>
        </is>
      </c>
      <c r="B5" s="2" t="inlineStr">
        <is>
          <t>Виды флюсов, когда какой использовать, как очищать остатки</t>
        </is>
      </c>
      <c r="C5" s="2" t="inlineStr">
        <is>
          <t>флюс для пайки, канифоль, RMA флюс, активный флюс, отмывочный флюс</t>
        </is>
      </c>
      <c r="D5" s="2" t="n">
        <v>5</v>
      </c>
      <c r="E5" s="2" t="inlineStr">
        <is>
          <t>гайд / обучающий</t>
        </is>
      </c>
      <c r="F5" s="2" t="inlineStr">
        <is>
          <t>🔴 Высокий</t>
        </is>
      </c>
      <c r="G5" s="2" t="inlineStr">
        <is>
          <t>нет сильного контента в РФ</t>
        </is>
      </c>
      <c r="H5" s="2" t="inlineStr">
        <is>
          <t>Тема почти не закрыта нишевыми блогами; AlexGyver даёт обзор в видео, но текстового гайда нет</t>
        </is>
      </c>
      <c r="I5" s="2" t="inlineStr">
        <is>
          <t>не начато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2" t="inlineStr">
        <is>
          <t>Ошибки / Проблемы новичка</t>
        </is>
      </c>
      <c r="B6" s="2" t="inlineStr">
        <is>
          <t>Частые ошибки при пайке: холодная пайка, мосты, перегрев, скатывание припоя</t>
        </is>
      </c>
      <c r="C6" s="2" t="inlineStr">
        <is>
          <t>ошибки при пайке, холодная пайка, мост при пайке, перегрев компонентов, припой не плавится</t>
        </is>
      </c>
      <c r="D6" s="2" t="n">
        <v>5</v>
      </c>
      <c r="E6" s="2" t="inlineStr">
        <is>
          <t>топ ошибок / проблема-решение</t>
        </is>
      </c>
      <c r="F6" s="2" t="inlineStr">
        <is>
          <t>🔴 Высокий</t>
        </is>
      </c>
      <c r="G6" s="2" t="inlineStr">
        <is>
          <t>solderpoint.ru (про производство), sea.com.ua</t>
        </is>
      </c>
      <c r="H6" s="2" t="inlineStr">
        <is>
          <t>Нет отдельного гайда про ошибки новичка при ручной пайке (sea.com.ua даёт список, но без детального разбора)</t>
        </is>
      </c>
      <c r="I6" s="2" t="inlineStr">
        <is>
          <t>не начато</t>
        </is>
      </c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2" t="inlineStr">
        <is>
          <t>Инструменты / Рейтинг паяльников</t>
        </is>
      </c>
      <c r="B7" s="2" t="inlineStr">
        <is>
          <t>Топ паяльников по цене, бренду и качеству</t>
        </is>
      </c>
      <c r="C7" s="2" t="inlineStr">
        <is>
          <t>рейтинг паяльников, лучший паяльник 2026, Hakko, JBC, TS100, T12, T80</t>
        </is>
      </c>
      <c r="D7" s="2" t="n">
        <v>4</v>
      </c>
      <c r="E7" s="2" t="inlineStr">
        <is>
          <t>рейтинг / обзор бренда</t>
        </is>
      </c>
      <c r="F7" s="2" t="inlineStr">
        <is>
          <t>🔴 Высокий</t>
        </is>
      </c>
      <c r="G7" s="2" t="inlineStr">
        <is>
          <t>t-j.ru, alexgyver.ru</t>
        </is>
      </c>
      <c r="H7" s="2" t="inlineStr">
        <is>
          <t>Ни один нишевый магазин не даёт рейтинг под новичков; AlexGyver рекомендует T80/T245 но без сводной таблицы цен</t>
        </is>
      </c>
      <c r="I7" s="2" t="inlineStr">
        <is>
          <t>не начато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2" t="inlineStr">
        <is>
          <t>Ремонт электроники</t>
        </is>
      </c>
      <c r="B8" s="2" t="inlineStr">
        <is>
          <t>Практический ремонт: телефоны, наушники, разъёмы, выпайка деталей</t>
        </is>
      </c>
      <c r="C8" s="2" t="inlineStr">
        <is>
          <t>пайка платы телефона, ремонт наушников, выпайка детали, разъём зарядки</t>
        </is>
      </c>
      <c r="D8" s="2" t="n">
        <v>4</v>
      </c>
      <c r="E8" s="2" t="inlineStr">
        <is>
          <t>инструкция</t>
        </is>
      </c>
      <c r="F8" s="2" t="inlineStr">
        <is>
          <t>🟡 Средний</t>
        </is>
      </c>
      <c r="G8" s="2" t="inlineStr">
        <is>
          <t>youtube.com (Паялыч 46К просм.), ruselectronic.com, youtube.com (Galactic Express)</t>
        </is>
      </c>
      <c r="H8" s="2" t="inlineStr">
        <is>
          <t>Нет нишевого блога с текстовыми пошаговыми гайдами: конкуренты — только YouTube видео без текста и устаревшие статьи 2013-2019 г.</t>
        </is>
      </c>
      <c r="I8" s="2" t="inlineStr">
        <is>
          <t>не начато</t>
        </is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2" t="inlineStr">
        <is>
          <t>Типы монтажа / SMD</t>
        </is>
      </c>
      <c r="B9" s="2" t="inlineStr">
        <is>
          <t>SMD пайка руками, термофен, мелкие компоненты</t>
        </is>
      </c>
      <c r="C9" s="2" t="inlineStr">
        <is>
          <t>ручная пайка SMD, как паять SMD, пинцет, паяльная паста, термофен</t>
        </is>
      </c>
      <c r="D9" s="2" t="n">
        <v>4</v>
      </c>
      <c r="E9" s="2" t="inlineStr">
        <is>
          <t>инструкция / buyer's guide</t>
        </is>
      </c>
      <c r="F9" s="2" t="inlineStr">
        <is>
          <t>🟡 Средний</t>
        </is>
      </c>
      <c r="G9" s="2" t="inlineStr">
        <is>
          <t>solderpoint.ru, sea.com.ua</t>
        </is>
      </c>
      <c r="H9" s="2" t="inlineStr">
        <is>
          <t>Нет практического гайда для новичков (конкуренты дают B2B или общий обзор без пошагового алгоритма)</t>
        </is>
      </c>
      <c r="I9" s="2" t="inlineStr">
        <is>
          <t>не начато</t>
        </is>
      </c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2" t="inlineStr">
        <is>
          <t>Аксессуары / Оснастка</t>
        </is>
      </c>
      <c r="B10" s="2" t="inlineStr">
        <is>
          <t>Держатель, оплётка, подставка, губка для паяльника</t>
        </is>
      </c>
      <c r="C10" s="2" t="inlineStr">
        <is>
          <t>третья рука для пайки, оплётка для снятия припоя, подставка для паяльника</t>
        </is>
      </c>
      <c r="D10" s="2" t="n">
        <v>3</v>
      </c>
      <c r="E10" s="2" t="inlineStr">
        <is>
          <t>buyer's guide / гайд</t>
        </is>
      </c>
      <c r="F10" s="2" t="inlineStr">
        <is>
          <t>🟢 Низкий</t>
        </is>
      </c>
      <c r="G10" s="2" t="inlineStr">
        <is>
          <t>нет прямых конкурентов</t>
        </is>
      </c>
      <c r="H10" s="2" t="inlineStr">
        <is>
          <t>Ниша полностью свободна</t>
        </is>
      </c>
      <c r="I10" s="2" t="inlineStr">
        <is>
          <t>не начато</t>
        </is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" t="inlineStr">
        <is>
          <t>Безопасность</t>
        </is>
      </c>
      <c r="B11" s="2" t="inlineStr">
        <is>
          <t>Техника безопасности, вредность дыма флюса, вентиляция</t>
        </is>
      </c>
      <c r="C11" s="2" t="inlineStr">
        <is>
          <t>техника безопасности при пайке, дым от флюса, вентиляция для пайки</t>
        </is>
      </c>
      <c r="D11" s="2" t="n">
        <v>3</v>
      </c>
      <c r="E11" s="2" t="inlineStr">
        <is>
          <t>гайд / обучающий</t>
        </is>
      </c>
      <c r="F11" s="2" t="inlineStr">
        <is>
          <t>🟡 Средний</t>
        </is>
      </c>
      <c r="G11" s="2" t="inlineStr">
        <is>
          <t>lemanapro.ru (закрытый контент, 401)</t>
        </is>
      </c>
      <c r="H11" s="2" t="inlineStr">
        <is>
          <t>Тема почти не закрыта текстовым контентом — занять топ по 'техника безопасности при пайке' реально с 1 статьёй</t>
        </is>
      </c>
      <c r="I11" s="2" t="inlineStr">
        <is>
          <t>не начато</t>
        </is>
      </c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2" t="inlineStr">
        <is>
          <t>Материалы / Специфичные</t>
        </is>
      </c>
      <c r="B12" s="2" t="inlineStr">
        <is>
          <t>Пайка алюминия, нержавейки, термоусадка</t>
        </is>
      </c>
      <c r="C12" s="2" t="inlineStr">
        <is>
          <t>пайка алюминия, пайка нержавейки, термоусадка после пайки</t>
        </is>
      </c>
      <c r="D12" s="2" t="n">
        <v>3</v>
      </c>
      <c r="E12" s="2" t="inlineStr">
        <is>
          <t>гайд / инструкция</t>
        </is>
      </c>
      <c r="F12" s="2" t="inlineStr">
        <is>
          <t>🟢 Низкий</t>
        </is>
      </c>
      <c r="G12" s="2" t="inlineStr">
        <is>
          <t>нет прямых</t>
        </is>
      </c>
      <c r="H12" s="2" t="inlineStr">
        <is>
          <t>Узкие темы с низкой конкуренцией, легко занять топ</t>
        </is>
      </c>
      <c r="I12" s="2" t="inlineStr">
        <is>
          <t>не начато</t>
        </is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2" t="inlineStr">
        <is>
          <t>Инструменты / Жала</t>
        </is>
      </c>
      <c r="B13" s="2" t="inlineStr">
        <is>
          <t>Жала для паяльника: типы, уход, замена, очистка</t>
        </is>
      </c>
      <c r="C13" s="2" t="inlineStr">
        <is>
          <t>жало для паяльника, T12 жало, как ухаживать за жалом, зачистка жала, лужение жала</t>
        </is>
      </c>
      <c r="D13" s="2" t="n">
        <v>2</v>
      </c>
      <c r="E13" s="2" t="inlineStr">
        <is>
          <t>гайд / инструкция</t>
        </is>
      </c>
      <c r="F13" s="2" t="inlineStr">
        <is>
          <t>🟡 Средний</t>
        </is>
      </c>
      <c r="G13" s="2" t="inlineStr">
        <is>
          <t>xakep.ru (раздел в обзоре, не отдельная статья)</t>
        </is>
      </c>
      <c r="H13" s="2" t="inlineStr">
        <is>
          <t>Нет ни одной отдельной статьи о жалах в РФ-выдаче — лёгкий топ</t>
        </is>
      </c>
      <c r="I13" s="2" t="inlineStr">
        <is>
          <t>не начато</t>
        </is>
      </c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2" t="inlineStr">
        <is>
          <t>Организация рабочего места</t>
        </is>
      </c>
      <c r="B14" s="2" t="inlineStr">
        <is>
          <t>Обустройство места для пайки, базовый набор инструментов</t>
        </is>
      </c>
      <c r="C14" s="2" t="inlineStr">
        <is>
          <t>рабочее место для пайки, набор инструментов радиолюбителя</t>
        </is>
      </c>
      <c r="D14" s="2" t="n">
        <v>2</v>
      </c>
      <c r="E14" s="2" t="inlineStr">
        <is>
          <t>гайд / buyer's guide</t>
        </is>
      </c>
      <c r="F14" s="2" t="inlineStr">
        <is>
          <t>🔴 Высокий</t>
        </is>
      </c>
      <c r="G14" s="2" t="inlineStr">
        <is>
          <t>alexgyver.ru (product-led страницы наборов, не SEO-статьи)</t>
        </is>
      </c>
      <c r="H14" s="2" t="inlineStr">
        <is>
          <t>Нет нишевого SEO-гайда 'как обустроить место для пайки дома' — высокая коммерческая ценность</t>
        </is>
      </c>
      <c r="I14" s="2" t="inlineStr">
        <is>
          <t>не начато</t>
        </is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2" t="inlineStr">
        <is>
          <t>Типы монтажа / SMD vs DIP</t>
        </is>
      </c>
      <c r="B15" s="2" t="inlineStr">
        <is>
          <t>Разница SMD и DIP монтажа, когда что применять</t>
        </is>
      </c>
      <c r="C15" s="2" t="inlineStr">
        <is>
          <t>SMD пайка, DIP монтаж, чем отличается SMD от DIP, поверхностный монтаж</t>
        </is>
      </c>
      <c r="D15" s="2" t="n">
        <v>1</v>
      </c>
      <c r="E15" s="2" t="inlineStr">
        <is>
          <t>сравнение</t>
        </is>
      </c>
      <c r="F15" s="2" t="inlineStr">
        <is>
          <t>🟡 Средний</t>
        </is>
      </c>
      <c r="G15" s="2" t="inlineStr">
        <is>
          <t>solderpoint.ru</t>
        </is>
      </c>
      <c r="H15" s="2" t="inlineStr">
        <is>
          <t>Контент конкурента ориентирован на производство, не на новичков</t>
        </is>
      </c>
      <c r="I15" s="2" t="inlineStr">
        <is>
          <t>не начато</t>
        </is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2" t="inlineStr">
        <is>
          <t>BGA и Реболлинг</t>
        </is>
      </c>
      <c r="B16" s="2" t="inlineStr">
        <is>
          <t>Замена и посадка BGA-чипов, трафареты, шарики, паяльная паста</t>
        </is>
      </c>
      <c r="C16" s="2" t="inlineStr">
        <is>
          <t>BGA пайка, реболлинг, паяльная паста BGA, трафарет BGA, нижний подогрев</t>
        </is>
      </c>
      <c r="D16" s="2" t="n">
        <v>3</v>
      </c>
      <c r="E16" s="2" t="inlineStr">
        <is>
          <t>гайд / инструкция</t>
        </is>
      </c>
      <c r="F16" s="2" t="inlineStr">
        <is>
          <t>🔴 Высокий</t>
        </is>
      </c>
      <c r="G16" s="2" t="inlineStr">
        <is>
          <t>supereyes.ru, est-smt.ru, YouTube</t>
        </is>
      </c>
      <c r="H16" s="2" t="inlineStr">
        <is>
          <t>Нет простого пошагового текстового руководства для новичков без перегрузки промышленными терминами.</t>
        </is>
      </c>
      <c r="I16" s="2" t="inlineStr">
        <is>
          <t>не начато</t>
        </is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2" t="inlineStr">
        <is>
          <t>Смарт-паяльники Type-C</t>
        </is>
      </c>
      <c r="B17" s="2" t="inlineStr">
        <is>
          <t>Портативные паяльники с поддержкой PD/QC, OLED-экраном и прошивкой IronOS</t>
        </is>
      </c>
      <c r="C17" s="2" t="inlineStr">
        <is>
          <t>смарт паяльник type-c, TS101 vs Pinecil V2, паяльник от повербанка, IronOS прошивка</t>
        </is>
      </c>
      <c r="D17" s="2" t="n">
        <v>3</v>
      </c>
      <c r="E17" s="2" t="inlineStr">
        <is>
          <t>buyer's guide / обзор</t>
        </is>
      </c>
      <c r="F17" s="2" t="inlineStr">
        <is>
          <t>🔴 Высокий</t>
        </is>
      </c>
      <c r="G17" s="2" t="inlineStr">
        <is>
          <t>habr.com, mysku.club, YouTube</t>
        </is>
      </c>
      <c r="H17" s="2" t="inlineStr">
        <is>
          <t>Отсутствует единый гайд по выбору блоков питания Power Delivery и настройке профилей нагрева.</t>
        </is>
      </c>
      <c r="I17" s="2" t="inlineStr">
        <is>
          <t>не начато</t>
        </is>
      </c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2" t="inlineStr">
        <is>
          <t>Паяльные пасты и химия</t>
        </is>
      </c>
      <c r="B18" s="2" t="inlineStr">
        <is>
          <t>Использование паяльной пасты, гелей, легкоплавких сплавов Розе/Вуда</t>
        </is>
      </c>
      <c r="C18" s="2" t="inlineStr">
        <is>
          <t>паяльная паста, чем отличается паста от припоя, шприц с пастой Sn63Pb37</t>
        </is>
      </c>
      <c r="D18" s="2" t="n">
        <v>2</v>
      </c>
      <c r="E18" s="2" t="inlineStr">
        <is>
          <t>обучающий / гайд</t>
        </is>
      </c>
      <c r="F18" s="2" t="inlineStr">
        <is>
          <t>🔴 Высокий</t>
        </is>
      </c>
      <c r="G18" s="2" t="inlineStr">
        <is>
          <t>supereyes.ru, ozon.ru</t>
        </is>
      </c>
      <c r="H18" s="2" t="inlineStr">
        <is>
          <t>Мало материалов с наглядным сравнением: когда брать проволочный припой, а когда пасту в шприце.</t>
        </is>
      </c>
      <c r="I18" s="2" t="inlineStr">
        <is>
          <t>не начато</t>
        </is>
      </c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2" t="inlineStr">
        <is>
          <t>Оптические приборы / Микроскопы</t>
        </is>
      </c>
      <c r="B19" s="2" t="inlineStr">
        <is>
          <t>Выбор и использование микроскопа для ремонта и контроля пайки</t>
        </is>
      </c>
      <c r="C19" s="2" t="inlineStr">
        <is>
          <t>микроскоп для пайки, оптический микроскоп плата, цифровой USB микроскоп</t>
        </is>
      </c>
      <c r="D19" s="2" t="n">
        <v>1</v>
      </c>
      <c r="E19" s="2" t="inlineStr">
        <is>
          <t>buyer's guide</t>
        </is>
      </c>
      <c r="F19" s="2" t="inlineStr">
        <is>
          <t>🟡 Средний</t>
        </is>
      </c>
      <c r="G19" s="2" t="inlineStr">
        <is>
          <t>supereyes.ru, mysku.club</t>
        </is>
      </c>
      <c r="H19" s="2" t="inlineStr">
        <is>
          <t>Отсутствует статья с тестом задержки вывода изображения (Input Lag) у бюджетных цифровых микроскопов.</t>
        </is>
      </c>
      <c r="I19" s="2" t="inlineStr">
        <is>
          <t>не начато</t>
        </is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7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7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7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7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7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7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7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7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7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7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7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7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7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7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7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7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7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7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7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7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7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7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7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7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7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7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7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7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7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7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7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7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7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7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7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7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7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7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7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7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7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7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7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7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7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7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7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7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7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7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7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7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7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7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7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7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7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7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7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7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7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7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7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7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7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7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7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7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7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7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7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7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7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7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7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7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7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7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7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7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7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7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7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7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7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7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7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7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7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7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7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7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7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7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7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7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7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7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7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7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7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7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7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7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7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7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7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7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7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7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7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7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7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7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7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7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7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7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7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7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7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7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7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7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7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7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7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7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7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7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7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7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7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7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7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7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7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7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7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7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7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7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7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7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7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7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7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7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7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7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7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7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7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7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7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7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7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7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7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7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7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7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7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7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7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7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7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7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7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7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7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7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7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7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7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7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7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7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7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7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7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 ht="15.75" customHeight="1" s="17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 ht="15.75" customHeight="1" s="17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 ht="15.75" customHeight="1" s="17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 ht="15.75" customHeight="1" s="17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 ht="15.75" customHeight="1" s="17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 ht="15.75" customHeight="1" s="1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 ht="15.75" customHeight="1" s="17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 ht="15.75" customHeight="1" s="17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 ht="15.75" customHeight="1" s="17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 ht="15.75" customHeight="1" s="17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 ht="15.75" customHeight="1" s="17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 ht="15.75" customHeight="1" s="17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 ht="15.75" customHeight="1" s="17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 ht="15.75" customHeight="1" s="17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 ht="15.75" customHeight="1" s="17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 ht="15.75" customHeight="1" s="1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 ht="15.75" customHeight="1" s="17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 ht="15.75" customHeight="1" s="17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 ht="15.75" customHeight="1" s="17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 ht="15.75" customHeight="1" s="17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 ht="15.75" customHeight="1" s="17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 ht="15.75" customHeight="1" s="17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 ht="15.75" customHeight="1" s="17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 ht="15.75" customHeight="1" s="17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 ht="15.75" customHeight="1" s="17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 ht="15.75" customHeight="1" s="1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 ht="15.75" customHeight="1" s="17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 ht="15.75" customHeight="1" s="17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 ht="15.75" customHeight="1" s="17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 ht="15.75" customHeight="1" s="17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 ht="15.75" customHeight="1" s="17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 ht="15.75" customHeight="1" s="17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 ht="15.75" customHeight="1" s="17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 ht="15.75" customHeight="1" s="17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 ht="15.75" customHeight="1" s="17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 ht="15.75" customHeight="1" s="1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 ht="15.75" customHeight="1" s="17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 ht="15.75" customHeight="1" s="17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 ht="15.75" customHeight="1" s="17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 ht="15.75" customHeight="1" s="17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 ht="15.75" customHeight="1" s="17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 ht="15.75" customHeight="1" s="17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 ht="15.75" customHeight="1" s="17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 ht="15.75" customHeight="1" s="17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 ht="15.75" customHeight="1" s="17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 ht="15.75" customHeight="1" s="1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 ht="15.75" customHeight="1" s="17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 ht="15.75" customHeight="1" s="17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 ht="15.75" customHeight="1" s="17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 ht="15.75" customHeight="1" s="17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 ht="15.75" customHeight="1" s="17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 ht="15.75" customHeight="1" s="17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 ht="15.75" customHeight="1" s="17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 ht="15.75" customHeight="1" s="17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 ht="15.75" customHeight="1" s="17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 ht="15.75" customHeight="1" s="1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 ht="15.75" customHeight="1" s="17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 ht="15.75" customHeight="1" s="17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 ht="15.75" customHeight="1" s="17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 ht="15.75" customHeight="1" s="17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 ht="15.75" customHeight="1" s="17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 ht="15.75" customHeight="1" s="17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 ht="15.75" customHeight="1" s="17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 ht="15.75" customHeight="1" s="17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 ht="15.75" customHeight="1" s="17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 ht="15.75" customHeight="1" s="1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 ht="15.75" customHeight="1" s="17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 ht="15.75" customHeight="1" s="17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 ht="15.75" customHeight="1" s="17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 ht="15.75" customHeight="1" s="17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 ht="15.75" customHeight="1" s="17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 ht="15.75" customHeight="1" s="17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 ht="15.75" customHeight="1" s="17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 ht="15.75" customHeight="1" s="17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 ht="15.75" customHeight="1" s="17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 ht="15.75" customHeight="1" s="1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 ht="15.75" customHeight="1" s="17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 ht="15.75" customHeight="1" s="17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 ht="15.75" customHeight="1" s="17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 ht="15.75" customHeight="1" s="17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 ht="15.75" customHeight="1" s="17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 ht="15.75" customHeight="1" s="17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 ht="15.75" customHeight="1" s="17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 ht="15.75" customHeight="1" s="17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 ht="15.75" customHeight="1" s="17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 ht="15.75" customHeight="1" s="1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 ht="15.75" customHeight="1" s="17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 ht="15.75" customHeight="1" s="17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 ht="15.75" customHeight="1" s="17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 ht="15.75" customHeight="1" s="17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 ht="15.75" customHeight="1" s="17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 ht="15.75" customHeight="1" s="17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 ht="15.75" customHeight="1" s="17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 ht="15.75" customHeight="1" s="17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 ht="15.75" customHeight="1" s="17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 ht="15.75" customHeight="1" s="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 ht="15.75" customHeight="1" s="17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 ht="15.75" customHeight="1" s="17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 ht="15.75" customHeight="1" s="17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 ht="15.75" customHeight="1" s="17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 ht="15.75" customHeight="1" s="17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 ht="15.75" customHeight="1" s="17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 ht="15.75" customHeight="1" s="17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 ht="15.75" customHeight="1" s="17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 ht="15.75" customHeight="1" s="17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 ht="15.75" customHeight="1" s="1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 ht="15.75" customHeight="1" s="17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 ht="15.75" customHeight="1" s="17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 ht="15.75" customHeight="1" s="17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 ht="15.75" customHeight="1" s="17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 ht="15.75" customHeight="1" s="17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 ht="15.75" customHeight="1" s="17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 ht="15.75" customHeight="1" s="17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 ht="15.75" customHeight="1" s="17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 ht="15.75" customHeight="1" s="17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 ht="15.75" customHeight="1" s="1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 ht="15.75" customHeight="1" s="17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 ht="15.75" customHeight="1" s="17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 ht="15.75" customHeight="1" s="17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 ht="15.75" customHeight="1" s="17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 ht="15.75" customHeight="1" s="17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 ht="15.75" customHeight="1" s="17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 ht="15.75" customHeight="1" s="17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 ht="15.75" customHeight="1" s="17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 ht="15.75" customHeight="1" s="17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 ht="15.75" customHeight="1" s="1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 ht="15.75" customHeight="1" s="17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 ht="15.75" customHeight="1" s="17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 ht="15.75" customHeight="1" s="17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 ht="15.75" customHeight="1" s="17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 ht="15.75" customHeight="1" s="17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 ht="15.75" customHeight="1" s="17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 ht="15.75" customHeight="1" s="17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 ht="15.75" customHeight="1" s="17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 ht="15.75" customHeight="1" s="17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 ht="15.75" customHeight="1" s="1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 ht="15.75" customHeight="1" s="17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 ht="15.75" customHeight="1" s="17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 ht="15.75" customHeight="1" s="17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 ht="15.75" customHeight="1" s="17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 ht="15.75" customHeight="1" s="17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 ht="15.75" customHeight="1" s="17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 ht="15.75" customHeight="1" s="17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 ht="15.75" customHeight="1" s="17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 ht="15.75" customHeight="1" s="17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 ht="15.75" customHeight="1" s="1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 ht="15.75" customHeight="1" s="17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 ht="15.75" customHeight="1" s="17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 ht="15.75" customHeight="1" s="17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 ht="15.75" customHeight="1" s="17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 ht="15.75" customHeight="1" s="17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 ht="15.75" customHeight="1" s="17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 ht="15.75" customHeight="1" s="17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 ht="15.75" customHeight="1" s="17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 ht="15.75" customHeight="1" s="17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 ht="15.75" customHeight="1" s="1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 ht="15.75" customHeight="1" s="17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 ht="15.75" customHeight="1" s="17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 ht="15.75" customHeight="1" s="17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 ht="15.75" customHeight="1" s="17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 ht="15.75" customHeight="1" s="17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 ht="15.75" customHeight="1" s="17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 ht="15.75" customHeight="1" s="17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 ht="15.75" customHeight="1" s="17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 ht="15.75" customHeight="1" s="17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 ht="15.75" customHeight="1" s="1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 ht="15.75" customHeight="1" s="17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 ht="15.75" customHeight="1" s="17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 ht="15.75" customHeight="1" s="17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 ht="15.75" customHeight="1" s="17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 ht="15.75" customHeight="1" s="17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 ht="15.75" customHeight="1" s="17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 ht="15.75" customHeight="1" s="17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 ht="15.75" customHeight="1" s="17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 ht="15.75" customHeight="1" s="17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 ht="15.75" customHeight="1" s="1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 ht="15.75" customHeight="1" s="17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 ht="15.75" customHeight="1" s="17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 ht="15.75" customHeight="1" s="17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 ht="15.75" customHeight="1" s="17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 ht="15.75" customHeight="1" s="17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 ht="15.75" customHeight="1" s="17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 ht="15.75" customHeight="1" s="17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 ht="15.75" customHeight="1" s="17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 ht="15.75" customHeight="1" s="17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 ht="15.75" customHeight="1" s="1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 ht="15.75" customHeight="1" s="17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 ht="15.75" customHeight="1" s="17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 ht="15.75" customHeight="1" s="17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 ht="15.75" customHeight="1" s="17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 ht="15.75" customHeight="1" s="17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 ht="15.75" customHeight="1" s="17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 ht="15.75" customHeight="1" s="17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 ht="15.75" customHeight="1" s="17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 ht="15.75" customHeight="1" s="17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 ht="15.75" customHeight="1" s="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 ht="15.75" customHeight="1" s="17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 ht="15.75" customHeight="1" s="17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 ht="15.75" customHeight="1" s="17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 ht="15.75" customHeight="1" s="17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 ht="15.75" customHeight="1" s="17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 ht="15.75" customHeight="1" s="17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 ht="15.75" customHeight="1" s="17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 ht="15.75" customHeight="1" s="17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 ht="15.75" customHeight="1" s="17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 ht="15.75" customHeight="1" s="1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 ht="15.75" customHeight="1" s="17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 ht="15.75" customHeight="1" s="17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 ht="15.75" customHeight="1" s="17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 ht="15.75" customHeight="1" s="17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 ht="15.75" customHeight="1" s="17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 ht="15.75" customHeight="1" s="17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 ht="15.75" customHeight="1" s="17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 ht="15.75" customHeight="1" s="17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 ht="15.75" customHeight="1" s="17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 ht="15.75" customHeight="1" s="1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 ht="15.75" customHeight="1" s="17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 ht="15.75" customHeight="1" s="17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 ht="15.75" customHeight="1" s="17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 ht="15.75" customHeight="1" s="17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 ht="15.75" customHeight="1" s="17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 ht="15.75" customHeight="1" s="17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 ht="15.75" customHeight="1" s="17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 ht="15.75" customHeight="1" s="17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 ht="15.75" customHeight="1" s="17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 ht="15.75" customHeight="1" s="1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 ht="15.75" customHeight="1" s="17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 ht="15.75" customHeight="1" s="17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 ht="15.75" customHeight="1" s="17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 ht="15.75" customHeight="1" s="17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 ht="15.75" customHeight="1" s="17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 ht="15.75" customHeight="1" s="17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 ht="15.75" customHeight="1" s="17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 ht="15.75" customHeight="1" s="17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 ht="15.75" customHeight="1" s="17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 ht="15.75" customHeight="1" s="1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 ht="15.75" customHeight="1" s="17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 ht="15.75" customHeight="1" s="17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 ht="15.75" customHeight="1" s="17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 ht="15.75" customHeight="1" s="17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 ht="15.75" customHeight="1" s="17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 ht="15.75" customHeight="1" s="17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 ht="15.75" customHeight="1" s="17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 ht="15.75" customHeight="1" s="17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 ht="15.75" customHeight="1" s="17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 ht="15.75" customHeight="1" s="1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 ht="15.75" customHeight="1" s="17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 ht="15.75" customHeight="1" s="17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 ht="15.75" customHeight="1" s="17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 ht="15.75" customHeight="1" s="17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 ht="15.75" customHeight="1" s="17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 ht="15.75" customHeight="1" s="17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 ht="15.75" customHeight="1" s="17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 ht="15.75" customHeight="1" s="17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 ht="15.75" customHeight="1" s="17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 ht="15.75" customHeight="1" s="1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 ht="15.75" customHeight="1" s="17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 ht="15.75" customHeight="1" s="17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 ht="15.75" customHeight="1" s="17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 ht="15.75" customHeight="1" s="17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 ht="15.75" customHeight="1" s="17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 ht="15.75" customHeight="1" s="17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 ht="15.75" customHeight="1" s="17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 ht="15.75" customHeight="1" s="17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 ht="15.75" customHeight="1" s="17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 ht="15.75" customHeight="1" s="1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 ht="15.75" customHeight="1" s="17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 ht="15.75" customHeight="1" s="17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 ht="15.75" customHeight="1" s="17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 ht="15.75" customHeight="1" s="17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 ht="15.75" customHeight="1" s="17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 ht="15.75" customHeight="1" s="17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 ht="15.75" customHeight="1" s="17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 ht="15.75" customHeight="1" s="17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 ht="15.75" customHeight="1" s="17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 ht="15.75" customHeight="1" s="1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 ht="15.75" customHeight="1" s="17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 ht="15.75" customHeight="1" s="17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 ht="15.75" customHeight="1" s="17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 ht="15.75" customHeight="1" s="17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  <row r="502" ht="15.75" customHeight="1" s="17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</row>
    <row r="503" ht="15.75" customHeight="1" s="17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</row>
    <row r="504" ht="15.75" customHeight="1" s="17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</row>
    <row r="505" ht="15.75" customHeight="1" s="17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</row>
    <row r="506" ht="15.75" customHeight="1" s="17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</row>
    <row r="507" ht="15.75" customHeight="1" s="1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</row>
    <row r="508" ht="15.75" customHeight="1" s="17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</row>
    <row r="509" ht="15.75" customHeight="1" s="17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</row>
    <row r="510" ht="15.75" customHeight="1" s="17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</row>
    <row r="511" ht="15.75" customHeight="1" s="17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</row>
    <row r="512" ht="15.75" customHeight="1" s="17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</row>
    <row r="513" ht="15.75" customHeight="1" s="17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</row>
    <row r="514" ht="15.75" customHeight="1" s="17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</row>
    <row r="515" ht="15.75" customHeight="1" s="17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</row>
    <row r="516" ht="15.75" customHeight="1" s="17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</row>
    <row r="517" ht="15.75" customHeight="1" s="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</row>
    <row r="518" ht="15.75" customHeight="1" s="17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</row>
    <row r="519" ht="15.75" customHeight="1" s="17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</row>
    <row r="520" ht="15.75" customHeight="1" s="17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</row>
    <row r="521" ht="15.75" customHeight="1" s="17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</row>
    <row r="522" ht="15.75" customHeight="1" s="17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</row>
    <row r="523" ht="15.75" customHeight="1" s="17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</row>
    <row r="524" ht="15.75" customHeight="1" s="17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</row>
    <row r="525" ht="15.75" customHeight="1" s="17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</row>
    <row r="526" ht="15.75" customHeight="1" s="17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</row>
    <row r="527" ht="15.75" customHeight="1" s="1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</row>
    <row r="528" ht="15.75" customHeight="1" s="17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</row>
    <row r="529" ht="15.75" customHeight="1" s="17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</row>
    <row r="530" ht="15.75" customHeight="1" s="17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</row>
    <row r="531" ht="15.75" customHeight="1" s="17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</row>
    <row r="532" ht="15.75" customHeight="1" s="17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</row>
    <row r="533" ht="15.75" customHeight="1" s="17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</row>
    <row r="534" ht="15.75" customHeight="1" s="17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</row>
    <row r="535" ht="15.75" customHeight="1" s="17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</row>
    <row r="536" ht="15.75" customHeight="1" s="17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</row>
    <row r="537" ht="15.75" customHeight="1" s="1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</row>
    <row r="538" ht="15.75" customHeight="1" s="17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</row>
    <row r="539" ht="15.75" customHeight="1" s="17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</row>
    <row r="540" ht="15.75" customHeight="1" s="17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</row>
    <row r="541" ht="15.75" customHeight="1" s="17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</row>
    <row r="542" ht="15.75" customHeight="1" s="17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</row>
    <row r="543" ht="15.75" customHeight="1" s="17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</row>
    <row r="544" ht="15.75" customHeight="1" s="17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</row>
    <row r="545" ht="15.75" customHeight="1" s="17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</row>
    <row r="546" ht="15.75" customHeight="1" s="17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</row>
    <row r="547" ht="15.75" customHeight="1" s="1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</row>
    <row r="548" ht="15.75" customHeight="1" s="17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</row>
    <row r="549" ht="15.75" customHeight="1" s="17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</row>
    <row r="550" ht="15.75" customHeight="1" s="17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</row>
    <row r="551" ht="15.75" customHeight="1" s="17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</row>
    <row r="552" ht="15.75" customHeight="1" s="17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</row>
    <row r="553" ht="15.75" customHeight="1" s="17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</row>
    <row r="554" ht="15.75" customHeight="1" s="17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</row>
    <row r="555" ht="15.75" customHeight="1" s="17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</row>
    <row r="556" ht="15.75" customHeight="1" s="17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</row>
    <row r="557" ht="15.75" customHeight="1" s="1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</row>
    <row r="558" ht="15.75" customHeight="1" s="17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</row>
    <row r="559" ht="15.75" customHeight="1" s="17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</row>
    <row r="560" ht="15.75" customHeight="1" s="17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</row>
    <row r="561" ht="15.75" customHeight="1" s="17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</row>
    <row r="562" ht="15.75" customHeight="1" s="17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</row>
    <row r="563" ht="15.75" customHeight="1" s="17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</row>
    <row r="564" ht="15.75" customHeight="1" s="17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</row>
    <row r="565" ht="15.75" customHeight="1" s="17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</row>
    <row r="566" ht="15.75" customHeight="1" s="17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</row>
    <row r="567" ht="15.75" customHeight="1" s="1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</row>
    <row r="568" ht="15.75" customHeight="1" s="17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</row>
    <row r="569" ht="15.75" customHeight="1" s="17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</row>
    <row r="570" ht="15.75" customHeight="1" s="17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</row>
    <row r="571" ht="15.75" customHeight="1" s="17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</row>
    <row r="572" ht="15.75" customHeight="1" s="17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</row>
    <row r="573" ht="15.75" customHeight="1" s="17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</row>
    <row r="574" ht="15.75" customHeight="1" s="17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</row>
    <row r="575" ht="15.75" customHeight="1" s="17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</row>
    <row r="576" ht="15.75" customHeight="1" s="17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</row>
    <row r="577" ht="15.75" customHeight="1" s="1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</row>
    <row r="578" ht="15.75" customHeight="1" s="17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</row>
    <row r="579" ht="15.75" customHeight="1" s="17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</row>
    <row r="580" ht="15.75" customHeight="1" s="17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</row>
    <row r="581" ht="15.75" customHeight="1" s="17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</row>
    <row r="582" ht="15.75" customHeight="1" s="17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</row>
    <row r="583" ht="15.75" customHeight="1" s="17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</row>
    <row r="584" ht="15.75" customHeight="1" s="17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</row>
    <row r="585" ht="15.75" customHeight="1" s="17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</row>
    <row r="586" ht="15.75" customHeight="1" s="17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</row>
    <row r="587" ht="15.75" customHeight="1" s="1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</row>
    <row r="588" ht="15.75" customHeight="1" s="17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</row>
    <row r="589" ht="15.75" customHeight="1" s="17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</row>
    <row r="590" ht="15.75" customHeight="1" s="17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</row>
    <row r="591" ht="15.75" customHeight="1" s="17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</row>
    <row r="592" ht="15.75" customHeight="1" s="17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</row>
    <row r="593" ht="15.75" customHeight="1" s="17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</row>
    <row r="594" ht="15.75" customHeight="1" s="17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</row>
    <row r="595" ht="15.75" customHeight="1" s="17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</row>
    <row r="596" ht="15.75" customHeight="1" s="17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</row>
    <row r="597" ht="15.75" customHeight="1" s="1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</row>
    <row r="598" ht="15.75" customHeight="1" s="17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</row>
    <row r="599" ht="15.75" customHeight="1" s="17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</row>
    <row r="600" ht="15.75" customHeight="1" s="17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</row>
    <row r="601" ht="15.75" customHeight="1" s="17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</row>
    <row r="602" ht="15.75" customHeight="1" s="17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</row>
    <row r="603" ht="15.75" customHeight="1" s="17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</row>
    <row r="604" ht="15.75" customHeight="1" s="17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</row>
    <row r="605" ht="15.75" customHeight="1" s="17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</row>
    <row r="606" ht="15.75" customHeight="1" s="17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</row>
    <row r="607" ht="15.75" customHeight="1" s="1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</row>
    <row r="608" ht="15.75" customHeight="1" s="17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</row>
    <row r="609" ht="15.75" customHeight="1" s="17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</row>
    <row r="610" ht="15.75" customHeight="1" s="17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</row>
    <row r="611" ht="15.75" customHeight="1" s="17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</row>
    <row r="612" ht="15.75" customHeight="1" s="17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</row>
    <row r="613" ht="15.75" customHeight="1" s="17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</row>
    <row r="614" ht="15.75" customHeight="1" s="17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</row>
    <row r="615" ht="15.75" customHeight="1" s="17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</row>
    <row r="616" ht="15.75" customHeight="1" s="17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</row>
    <row r="617" ht="15.75" customHeight="1" s="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</row>
    <row r="618" ht="15.75" customHeight="1" s="17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</row>
    <row r="619" ht="15.75" customHeight="1" s="17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</row>
    <row r="620" ht="15.75" customHeight="1" s="17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</row>
    <row r="621" ht="15.75" customHeight="1" s="17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</row>
    <row r="622" ht="15.75" customHeight="1" s="17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</row>
    <row r="623" ht="15.75" customHeight="1" s="17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</row>
    <row r="624" ht="15.75" customHeight="1" s="17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</row>
    <row r="625" ht="15.75" customHeight="1" s="17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</row>
    <row r="626" ht="15.75" customHeight="1" s="17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</row>
    <row r="627" ht="15.75" customHeight="1" s="1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</row>
    <row r="628" ht="15.75" customHeight="1" s="17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</row>
    <row r="629" ht="15.75" customHeight="1" s="17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</row>
    <row r="630" ht="15.75" customHeight="1" s="17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</row>
    <row r="631" ht="15.75" customHeight="1" s="17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</row>
    <row r="632" ht="15.75" customHeight="1" s="17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</row>
    <row r="633" ht="15.75" customHeight="1" s="17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</row>
    <row r="634" ht="15.75" customHeight="1" s="17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</row>
    <row r="635" ht="15.75" customHeight="1" s="17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</row>
    <row r="636" ht="15.75" customHeight="1" s="17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</row>
    <row r="637" ht="15.75" customHeight="1" s="1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</row>
    <row r="638" ht="15.75" customHeight="1" s="17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</row>
    <row r="639" ht="15.75" customHeight="1" s="17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</row>
    <row r="640" ht="15.75" customHeight="1" s="17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</row>
    <row r="641" ht="15.75" customHeight="1" s="17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</row>
    <row r="642" ht="15.75" customHeight="1" s="17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</row>
    <row r="643" ht="15.75" customHeight="1" s="17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</row>
    <row r="644" ht="15.75" customHeight="1" s="17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</row>
    <row r="645" ht="15.75" customHeight="1" s="17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</row>
    <row r="646" ht="15.75" customHeight="1" s="17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</row>
    <row r="647" ht="15.75" customHeight="1" s="1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</row>
    <row r="648" ht="15.75" customHeight="1" s="17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</row>
    <row r="649" ht="15.75" customHeight="1" s="17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</row>
    <row r="650" ht="15.75" customHeight="1" s="17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</row>
    <row r="651" ht="15.75" customHeight="1" s="17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</row>
    <row r="652" ht="15.75" customHeight="1" s="17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</row>
    <row r="653" ht="15.75" customHeight="1" s="17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</row>
    <row r="654" ht="15.75" customHeight="1" s="17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</row>
    <row r="655" ht="15.75" customHeight="1" s="17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</row>
    <row r="656" ht="15.75" customHeight="1" s="17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</row>
    <row r="657" ht="15.75" customHeight="1" s="1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</row>
    <row r="658" ht="15.75" customHeight="1" s="17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</row>
    <row r="659" ht="15.75" customHeight="1" s="17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</row>
    <row r="660" ht="15.75" customHeight="1" s="17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</row>
    <row r="661" ht="15.75" customHeight="1" s="17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</row>
    <row r="662" ht="15.75" customHeight="1" s="17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</row>
    <row r="663" ht="15.75" customHeight="1" s="17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</row>
    <row r="664" ht="15.75" customHeight="1" s="17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</row>
    <row r="665" ht="15.75" customHeight="1" s="17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</row>
    <row r="666" ht="15.75" customHeight="1" s="17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</row>
    <row r="667" ht="15.75" customHeight="1" s="1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</row>
    <row r="668" ht="15.75" customHeight="1" s="17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</row>
    <row r="669" ht="15.75" customHeight="1" s="17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</row>
    <row r="670" ht="15.75" customHeight="1" s="17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</row>
    <row r="671" ht="15.75" customHeight="1" s="17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</row>
    <row r="672" ht="15.75" customHeight="1" s="17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</row>
    <row r="673" ht="15.75" customHeight="1" s="17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</row>
    <row r="674" ht="15.75" customHeight="1" s="17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</row>
    <row r="675" ht="15.75" customHeight="1" s="17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</row>
    <row r="676" ht="15.75" customHeight="1" s="17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</row>
    <row r="677" ht="15.75" customHeight="1" s="1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</row>
    <row r="678" ht="15.75" customHeight="1" s="17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</row>
    <row r="679" ht="15.75" customHeight="1" s="17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</row>
    <row r="680" ht="15.75" customHeight="1" s="17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</row>
    <row r="681" ht="15.75" customHeight="1" s="17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</row>
    <row r="682" ht="15.75" customHeight="1" s="17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</row>
    <row r="683" ht="15.75" customHeight="1" s="17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</row>
    <row r="684" ht="15.75" customHeight="1" s="17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</row>
    <row r="685" ht="15.75" customHeight="1" s="17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</row>
    <row r="686" ht="15.75" customHeight="1" s="17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</row>
    <row r="687" ht="15.75" customHeight="1" s="1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</row>
    <row r="688" ht="15.75" customHeight="1" s="17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</row>
    <row r="689" ht="15.75" customHeight="1" s="17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</row>
    <row r="690" ht="15.75" customHeight="1" s="17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</row>
    <row r="691" ht="15.75" customHeight="1" s="17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</row>
    <row r="692" ht="15.75" customHeight="1" s="17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</row>
    <row r="693" ht="15.75" customHeight="1" s="17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</row>
    <row r="694" ht="15.75" customHeight="1" s="17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</row>
    <row r="695" ht="15.75" customHeight="1" s="17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</row>
    <row r="696" ht="15.75" customHeight="1" s="17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</row>
    <row r="697" ht="15.75" customHeight="1" s="1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</row>
    <row r="698" ht="15.75" customHeight="1" s="17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</row>
    <row r="699" ht="15.75" customHeight="1" s="17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</row>
    <row r="700" ht="15.75" customHeight="1" s="17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</row>
    <row r="701" ht="15.75" customHeight="1" s="17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</row>
    <row r="702" ht="15.75" customHeight="1" s="17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</row>
    <row r="703" ht="15.75" customHeight="1" s="17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</row>
    <row r="704" ht="15.75" customHeight="1" s="17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</row>
    <row r="705" ht="15.75" customHeight="1" s="17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</row>
    <row r="706" ht="15.75" customHeight="1" s="17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</row>
    <row r="707" ht="15.75" customHeight="1" s="1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</row>
    <row r="708" ht="15.75" customHeight="1" s="17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</row>
    <row r="709" ht="15.75" customHeight="1" s="17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</row>
    <row r="710" ht="15.75" customHeight="1" s="17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</row>
    <row r="711" ht="15.75" customHeight="1" s="17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</row>
    <row r="712" ht="15.75" customHeight="1" s="17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</row>
    <row r="713" ht="15.75" customHeight="1" s="17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</row>
    <row r="714" ht="15.75" customHeight="1" s="17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</row>
    <row r="715" ht="15.75" customHeight="1" s="17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</row>
    <row r="716" ht="15.75" customHeight="1" s="17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</row>
    <row r="717" ht="15.75" customHeight="1" s="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</row>
    <row r="718" ht="15.75" customHeight="1" s="17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</row>
    <row r="719" ht="15.75" customHeight="1" s="17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</row>
    <row r="720" ht="15.75" customHeight="1" s="17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</row>
    <row r="721" ht="15.75" customHeight="1" s="17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</row>
    <row r="722" ht="15.75" customHeight="1" s="17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</row>
    <row r="723" ht="15.75" customHeight="1" s="17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</row>
    <row r="724" ht="15.75" customHeight="1" s="17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</row>
    <row r="725" ht="15.75" customHeight="1" s="17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</row>
    <row r="726" ht="15.75" customHeight="1" s="17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</row>
    <row r="727" ht="15.75" customHeight="1" s="1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</row>
    <row r="728" ht="15.75" customHeight="1" s="17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</row>
    <row r="729" ht="15.75" customHeight="1" s="17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</row>
    <row r="730" ht="15.75" customHeight="1" s="17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</row>
    <row r="731" ht="15.75" customHeight="1" s="17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</row>
    <row r="732" ht="15.75" customHeight="1" s="17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</row>
    <row r="733" ht="15.75" customHeight="1" s="17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</row>
    <row r="734" ht="15.75" customHeight="1" s="17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</row>
    <row r="735" ht="15.75" customHeight="1" s="17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</row>
    <row r="736" ht="15.75" customHeight="1" s="17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</row>
    <row r="737" ht="15.75" customHeight="1" s="1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</row>
    <row r="738" ht="15.75" customHeight="1" s="17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</row>
    <row r="739" ht="15.75" customHeight="1" s="17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</row>
    <row r="740" ht="15.75" customHeight="1" s="17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</row>
    <row r="741" ht="15.75" customHeight="1" s="17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</row>
    <row r="742" ht="15.75" customHeight="1" s="17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</row>
    <row r="743" ht="15.75" customHeight="1" s="17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</row>
    <row r="744" ht="15.75" customHeight="1" s="17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</row>
    <row r="745" ht="15.75" customHeight="1" s="17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</row>
    <row r="746" ht="15.75" customHeight="1" s="17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</row>
    <row r="747" ht="15.75" customHeight="1" s="1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</row>
    <row r="748" ht="15.75" customHeight="1" s="17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</row>
    <row r="749" ht="15.75" customHeight="1" s="17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</row>
    <row r="750" ht="15.75" customHeight="1" s="17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</row>
    <row r="751" ht="15.75" customHeight="1" s="17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</row>
    <row r="752" ht="15.75" customHeight="1" s="17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</row>
    <row r="753" ht="15.75" customHeight="1" s="17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</row>
    <row r="754" ht="15.75" customHeight="1" s="17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</row>
    <row r="755" ht="15.75" customHeight="1" s="17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</row>
    <row r="756" ht="15.75" customHeight="1" s="17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</row>
    <row r="757" ht="15.75" customHeight="1" s="1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</row>
    <row r="758" ht="15.75" customHeight="1" s="17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</row>
    <row r="759" ht="15.75" customHeight="1" s="17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</row>
    <row r="760" ht="15.75" customHeight="1" s="17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</row>
    <row r="761" ht="15.75" customHeight="1" s="17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</row>
    <row r="762" ht="15.75" customHeight="1" s="17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</row>
    <row r="763" ht="15.75" customHeight="1" s="17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</row>
    <row r="764" ht="15.75" customHeight="1" s="17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</row>
    <row r="765" ht="15.75" customHeight="1" s="17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</row>
    <row r="766" ht="15.75" customHeight="1" s="17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</row>
    <row r="767" ht="15.75" customHeight="1" s="1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</row>
    <row r="768" ht="15.75" customHeight="1" s="17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</row>
    <row r="769" ht="15.75" customHeight="1" s="17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</row>
    <row r="770" ht="15.75" customHeight="1" s="17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</row>
    <row r="771" ht="15.75" customHeight="1" s="17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</row>
    <row r="772" ht="15.75" customHeight="1" s="17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</row>
    <row r="773" ht="15.75" customHeight="1" s="17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</row>
    <row r="774" ht="15.75" customHeight="1" s="17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</row>
    <row r="775" ht="15.75" customHeight="1" s="17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</row>
    <row r="776" ht="15.75" customHeight="1" s="17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</row>
    <row r="777" ht="15.75" customHeight="1" s="1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</row>
    <row r="778" ht="15.75" customHeight="1" s="17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</row>
    <row r="779" ht="15.75" customHeight="1" s="17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</row>
    <row r="780" ht="15.75" customHeight="1" s="17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</row>
    <row r="781" ht="15.75" customHeight="1" s="17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</row>
    <row r="782" ht="15.75" customHeight="1" s="17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</row>
    <row r="783" ht="15.75" customHeight="1" s="17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</row>
    <row r="784" ht="15.75" customHeight="1" s="17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</row>
    <row r="785" ht="15.75" customHeight="1" s="17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</row>
    <row r="786" ht="15.75" customHeight="1" s="17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</row>
    <row r="787" ht="15.75" customHeight="1" s="1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</row>
    <row r="788" ht="15.75" customHeight="1" s="17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</row>
    <row r="789" ht="15.75" customHeight="1" s="17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</row>
    <row r="790" ht="15.75" customHeight="1" s="17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</row>
    <row r="791" ht="15.75" customHeight="1" s="17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</row>
    <row r="792" ht="15.75" customHeight="1" s="17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</row>
    <row r="793" ht="15.75" customHeight="1" s="17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</row>
    <row r="794" ht="15.75" customHeight="1" s="17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</row>
    <row r="795" ht="15.75" customHeight="1" s="17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</row>
    <row r="796" ht="15.75" customHeight="1" s="17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</row>
    <row r="797" ht="15.75" customHeight="1" s="1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</row>
    <row r="798" ht="15.75" customHeight="1" s="17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</row>
    <row r="799" ht="15.75" customHeight="1" s="17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</row>
    <row r="800" ht="15.75" customHeight="1" s="17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</row>
    <row r="801" ht="15.75" customHeight="1" s="17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</row>
    <row r="802" ht="15.75" customHeight="1" s="17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</row>
    <row r="803" ht="15.75" customHeight="1" s="17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</row>
    <row r="804" ht="15.75" customHeight="1" s="17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</row>
    <row r="805" ht="15.75" customHeight="1" s="17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</row>
    <row r="806" ht="15.75" customHeight="1" s="17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</row>
    <row r="807" ht="15.75" customHeight="1" s="1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</row>
    <row r="808" ht="15.75" customHeight="1" s="17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</row>
    <row r="809" ht="15.75" customHeight="1" s="17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</row>
    <row r="810" ht="15.75" customHeight="1" s="17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</row>
    <row r="811" ht="15.75" customHeight="1" s="17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</row>
    <row r="812" ht="15.75" customHeight="1" s="17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</row>
    <row r="813" ht="15.75" customHeight="1" s="17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</row>
    <row r="814" ht="15.75" customHeight="1" s="17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</row>
    <row r="815" ht="15.75" customHeight="1" s="17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</row>
    <row r="816" ht="15.75" customHeight="1" s="17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</row>
    <row r="817" ht="15.75" customHeight="1" s="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</row>
    <row r="818" ht="15.75" customHeight="1" s="17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</row>
    <row r="819" ht="15.75" customHeight="1" s="17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</row>
    <row r="820" ht="15.75" customHeight="1" s="17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</row>
    <row r="821" ht="15.75" customHeight="1" s="17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</row>
    <row r="822" ht="15.75" customHeight="1" s="17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</row>
    <row r="823" ht="15.75" customHeight="1" s="17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</row>
    <row r="824" ht="15.75" customHeight="1" s="17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</row>
    <row r="825" ht="15.75" customHeight="1" s="17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</row>
    <row r="826" ht="15.75" customHeight="1" s="17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</row>
    <row r="827" ht="15.75" customHeight="1" s="1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</row>
    <row r="828" ht="15.75" customHeight="1" s="17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</row>
    <row r="829" ht="15.75" customHeight="1" s="17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</row>
    <row r="830" ht="15.75" customHeight="1" s="17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</row>
    <row r="831" ht="15.75" customHeight="1" s="17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</row>
    <row r="832" ht="15.75" customHeight="1" s="17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</row>
    <row r="833" ht="15.75" customHeight="1" s="17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</row>
    <row r="834" ht="15.75" customHeight="1" s="17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</row>
    <row r="835" ht="15.75" customHeight="1" s="17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</row>
    <row r="836" ht="15.75" customHeight="1" s="17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</row>
    <row r="837" ht="15.75" customHeight="1" s="1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</row>
    <row r="838" ht="15.75" customHeight="1" s="17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</row>
    <row r="839" ht="15.75" customHeight="1" s="17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</row>
    <row r="840" ht="15.75" customHeight="1" s="17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</row>
    <row r="841" ht="15.75" customHeight="1" s="17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</row>
    <row r="842" ht="15.75" customHeight="1" s="17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</row>
    <row r="843" ht="15.75" customHeight="1" s="17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</row>
    <row r="844" ht="15.75" customHeight="1" s="17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</row>
    <row r="845" ht="15.75" customHeight="1" s="17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</row>
    <row r="846" ht="15.75" customHeight="1" s="17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</row>
    <row r="847" ht="15.75" customHeight="1" s="1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</row>
    <row r="848" ht="15.75" customHeight="1" s="17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</row>
    <row r="849" ht="15.75" customHeight="1" s="17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</row>
    <row r="850" ht="15.75" customHeight="1" s="17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</row>
    <row r="851" ht="15.75" customHeight="1" s="17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</row>
    <row r="852" ht="15.75" customHeight="1" s="17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</row>
    <row r="853" ht="15.75" customHeight="1" s="17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</row>
    <row r="854" ht="15.75" customHeight="1" s="17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</row>
    <row r="855" ht="15.75" customHeight="1" s="17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</row>
    <row r="856" ht="15.75" customHeight="1" s="17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</row>
    <row r="857" ht="15.75" customHeight="1" s="1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</row>
    <row r="858" ht="15.75" customHeight="1" s="17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</row>
    <row r="859" ht="15.75" customHeight="1" s="17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</row>
    <row r="860" ht="15.75" customHeight="1" s="17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</row>
    <row r="861" ht="15.75" customHeight="1" s="17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</row>
    <row r="862" ht="15.75" customHeight="1" s="17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</row>
    <row r="863" ht="15.75" customHeight="1" s="17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</row>
    <row r="864" ht="15.75" customHeight="1" s="17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</row>
    <row r="865" ht="15.75" customHeight="1" s="17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</row>
    <row r="866" ht="15.75" customHeight="1" s="17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</row>
    <row r="867" ht="15.75" customHeight="1" s="1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</row>
    <row r="868" ht="15.75" customHeight="1" s="17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</row>
    <row r="869" ht="15.75" customHeight="1" s="17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</row>
    <row r="870" ht="15.75" customHeight="1" s="17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</row>
    <row r="871" ht="15.75" customHeight="1" s="17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</row>
    <row r="872" ht="15.75" customHeight="1" s="17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</row>
    <row r="873" ht="15.75" customHeight="1" s="17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</row>
    <row r="874" ht="15.75" customHeight="1" s="17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</row>
    <row r="875" ht="15.75" customHeight="1" s="17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</row>
    <row r="876" ht="15.75" customHeight="1" s="17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</row>
    <row r="877" ht="15.75" customHeight="1" s="1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</row>
    <row r="878" ht="15.75" customHeight="1" s="17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</row>
    <row r="879" ht="15.75" customHeight="1" s="17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</row>
    <row r="880" ht="15.75" customHeight="1" s="17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</row>
    <row r="881" ht="15.75" customHeight="1" s="17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</row>
    <row r="882" ht="15.75" customHeight="1" s="17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</row>
    <row r="883" ht="15.75" customHeight="1" s="17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</row>
    <row r="884" ht="15.75" customHeight="1" s="17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</row>
    <row r="885" ht="15.75" customHeight="1" s="17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</row>
    <row r="886" ht="15.75" customHeight="1" s="17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</row>
    <row r="887" ht="15.75" customHeight="1" s="1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</row>
    <row r="888" ht="15.75" customHeight="1" s="17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</row>
    <row r="889" ht="15.75" customHeight="1" s="17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</row>
    <row r="890" ht="15.75" customHeight="1" s="17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</row>
    <row r="891" ht="15.75" customHeight="1" s="17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</row>
    <row r="892" ht="15.75" customHeight="1" s="17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</row>
    <row r="893" ht="15.75" customHeight="1" s="17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</row>
    <row r="894" ht="15.75" customHeight="1" s="17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</row>
    <row r="895" ht="15.75" customHeight="1" s="17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</row>
    <row r="896" ht="15.75" customHeight="1" s="17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</row>
    <row r="897" ht="15.75" customHeight="1" s="1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</row>
    <row r="898" ht="15.75" customHeight="1" s="17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</row>
    <row r="899" ht="15.75" customHeight="1" s="17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</row>
    <row r="900" ht="15.75" customHeight="1" s="17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</row>
    <row r="901" ht="15.75" customHeight="1" s="17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</row>
    <row r="902" ht="15.75" customHeight="1" s="17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</row>
    <row r="903" ht="15.75" customHeight="1" s="17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</row>
    <row r="904" ht="15.75" customHeight="1" s="17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</row>
    <row r="905" ht="15.75" customHeight="1" s="17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</row>
    <row r="906" ht="15.75" customHeight="1" s="17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</row>
    <row r="907" ht="15.75" customHeight="1" s="1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</row>
    <row r="908" ht="15.75" customHeight="1" s="17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</row>
    <row r="909" ht="15.75" customHeight="1" s="17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</row>
    <row r="910" ht="15.75" customHeight="1" s="17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</row>
    <row r="911" ht="15.75" customHeight="1" s="17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</row>
    <row r="912" ht="15.75" customHeight="1" s="17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</row>
    <row r="913" ht="15.75" customHeight="1" s="17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</row>
    <row r="914" ht="15.75" customHeight="1" s="17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</row>
    <row r="915" ht="15.75" customHeight="1" s="17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</row>
    <row r="916" ht="15.75" customHeight="1" s="17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</row>
    <row r="917" ht="15.75" customHeight="1" s="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</row>
    <row r="918" ht="15.75" customHeight="1" s="17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</row>
    <row r="919" ht="15.75" customHeight="1" s="17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</row>
    <row r="920" ht="15.75" customHeight="1" s="17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</row>
    <row r="921" ht="15.75" customHeight="1" s="17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</row>
    <row r="922" ht="15.75" customHeight="1" s="17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</row>
    <row r="923" ht="15.75" customHeight="1" s="17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</row>
    <row r="924" ht="15.75" customHeight="1" s="17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</row>
    <row r="925" ht="15.75" customHeight="1" s="17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</row>
    <row r="926" ht="15.75" customHeight="1" s="17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</row>
    <row r="927" ht="15.75" customHeight="1" s="1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</row>
    <row r="928" ht="15.75" customHeight="1" s="17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</row>
    <row r="929" ht="15.75" customHeight="1" s="17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</row>
    <row r="930" ht="15.75" customHeight="1" s="17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</row>
    <row r="931" ht="15.75" customHeight="1" s="17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</row>
    <row r="932" ht="15.75" customHeight="1" s="17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</row>
    <row r="933" ht="15.75" customHeight="1" s="17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</row>
    <row r="934" ht="15.75" customHeight="1" s="17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</row>
    <row r="935" ht="15.75" customHeight="1" s="17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</row>
    <row r="936" ht="15.75" customHeight="1" s="17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</row>
    <row r="937" ht="15.75" customHeight="1" s="1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</row>
    <row r="938" ht="15.75" customHeight="1" s="17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</row>
    <row r="939" ht="15.75" customHeight="1" s="17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</row>
    <row r="940" ht="15.75" customHeight="1" s="17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</row>
    <row r="941" ht="15.75" customHeight="1" s="17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</row>
    <row r="942" ht="15.75" customHeight="1" s="17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</row>
    <row r="943" ht="15.75" customHeight="1" s="17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</row>
    <row r="944" ht="15.75" customHeight="1" s="17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</row>
    <row r="945" ht="15.75" customHeight="1" s="17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</row>
    <row r="946" ht="15.75" customHeight="1" s="17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</row>
    <row r="947" ht="15.75" customHeight="1" s="1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</row>
    <row r="948" ht="15.75" customHeight="1" s="17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</row>
    <row r="949" ht="15.75" customHeight="1" s="17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</row>
    <row r="950" ht="15.75" customHeight="1" s="17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</row>
    <row r="951" ht="15.75" customHeight="1" s="17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</row>
    <row r="952" ht="15.75" customHeight="1" s="17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</row>
    <row r="953" ht="15.75" customHeight="1" s="17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</row>
    <row r="954" ht="15.75" customHeight="1" s="17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</row>
    <row r="955" ht="15.75" customHeight="1" s="17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</row>
    <row r="956" ht="15.75" customHeight="1" s="17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</row>
    <row r="957" ht="15.75" customHeight="1" s="1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</row>
    <row r="958" ht="15.75" customHeight="1" s="17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</row>
    <row r="959" ht="15.75" customHeight="1" s="17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</row>
    <row r="960" ht="15.75" customHeight="1" s="17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</row>
    <row r="961" ht="15.75" customHeight="1" s="17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</row>
    <row r="962" ht="15.75" customHeight="1" s="17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</row>
    <row r="963" ht="15.75" customHeight="1" s="17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</row>
    <row r="964" ht="15.75" customHeight="1" s="17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</row>
    <row r="965" ht="15.75" customHeight="1" s="17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</row>
    <row r="966" ht="15.75" customHeight="1" s="17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</row>
    <row r="967" ht="15.75" customHeight="1" s="1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</row>
    <row r="968" ht="15.75" customHeight="1" s="17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</row>
    <row r="969" ht="15.75" customHeight="1" s="17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</row>
    <row r="970" ht="15.75" customHeight="1" s="17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</row>
    <row r="971" ht="15.75" customHeight="1" s="17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</row>
    <row r="972" ht="15.75" customHeight="1" s="17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</row>
    <row r="973" ht="15.75" customHeight="1" s="17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</row>
    <row r="974" ht="15.75" customHeight="1" s="17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</row>
    <row r="975" ht="15.75" customHeight="1" s="17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</row>
    <row r="976" ht="15.75" customHeight="1" s="17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</row>
    <row r="977" ht="15.75" customHeight="1" s="1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</row>
    <row r="978" ht="15.75" customHeight="1" s="17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</row>
    <row r="979" ht="15.75" customHeight="1" s="17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</row>
    <row r="980" ht="15.75" customHeight="1" s="17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</row>
    <row r="981" ht="15.75" customHeight="1" s="17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</row>
    <row r="982" ht="15.75" customHeight="1" s="17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</row>
    <row r="983" ht="15.75" customHeight="1" s="17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</row>
    <row r="984" ht="15.75" customHeight="1" s="17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</row>
    <row r="985" ht="15.75" customHeight="1" s="17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</row>
    <row r="986" ht="15.75" customHeight="1" s="17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</row>
    <row r="987" ht="15.75" customHeight="1" s="1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</row>
    <row r="988" ht="15.75" customHeight="1" s="17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</row>
    <row r="989" ht="15.75" customHeight="1" s="17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</row>
    <row r="990" ht="15.75" customHeight="1" s="17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</row>
    <row r="991" ht="15.75" customHeight="1" s="17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</row>
    <row r="992" ht="15.75" customHeight="1" s="17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</row>
    <row r="993" ht="15.75" customHeight="1" s="17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</row>
    <row r="994" ht="15.75" customHeight="1" s="17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</row>
    <row r="995" ht="15.75" customHeight="1" s="17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</row>
    <row r="996" ht="15.75" customHeight="1" s="17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</row>
    <row r="997" ht="15.75" customHeight="1" s="1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</row>
    <row r="998" ht="15.75" customHeight="1" s="17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</row>
    <row r="999" ht="15.75" customHeight="1" s="17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</row>
    <row r="1000" ht="15.75" customHeight="1" s="17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7" min="1" max="7"/>
  </cols>
  <sheetData>
    <row r="1">
      <c r="A1" s="2" t="inlineStr">
        <is>
          <t>домен</t>
        </is>
      </c>
      <c r="B1" s="2" t="inlineStr">
        <is>
          <t>ниша</t>
        </is>
      </c>
      <c r="C1" s="2" t="inlineStr">
        <is>
          <t>тип</t>
        </is>
      </c>
      <c r="D1" s="2" t="inlineStr">
        <is>
          <t>раздел блога</t>
        </is>
      </c>
      <c r="E1" s="2" t="inlineStr">
        <is>
          <t>кол-во статей (собрано)</t>
        </is>
      </c>
      <c r="F1" s="2" t="inlineStr">
        <is>
          <t>заметки</t>
        </is>
      </c>
      <c r="G1" s="2" t="inlineStr">
        <is>
          <t>дата_обновления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2" t="inlineStr">
        <is>
          <t>solderpoint.ru</t>
        </is>
      </c>
      <c r="B2" s="2" t="inlineStr">
        <is>
          <t>Контрактное производство электроники + блог</t>
        </is>
      </c>
      <c r="C2" s="2" t="inlineStr">
        <is>
          <t>Прямой конкурент</t>
        </is>
      </c>
      <c r="D2" s="2" t="inlineStr">
        <is>
          <t>https://solderpoint.ru/blog</t>
        </is>
      </c>
      <c r="E2" s="2" t="n">
        <v>32</v>
      </c>
      <c r="F2" s="2" t="inlineStr">
        <is>
          <t>~54 статьи всего, 9 страниц пагинации. Фокус B2B, не на новичках. Хорошие статьи про типы монтажа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2" t="inlineStr">
        <is>
          <t>dns-shop.ru</t>
        </is>
      </c>
      <c r="B3" s="2" t="inlineStr">
        <is>
          <t>Крупный ритейлер электроники</t>
        </is>
      </c>
      <c r="C3" s="2" t="inlineStr">
        <is>
          <t>Эталон формата</t>
        </is>
      </c>
      <c r="D3" s="2" t="inlineStr">
        <is>
          <t>https://club.dns-shop.ru/blog/t-375-payalnyie-instrumentyi/</t>
        </is>
      </c>
      <c r="E3" s="2" t="n">
        <v>1</v>
      </c>
      <c r="F3" s="2" t="inlineStr">
        <is>
          <t>Гайд для новичков с пошаговой структурой — бенчмарк формата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2" t="inlineStr">
        <is>
          <t>vseinstrumenti.ru</t>
        </is>
      </c>
      <c r="B4" s="2" t="inlineStr">
        <is>
          <t>Крупный магазин инструментов</t>
        </is>
      </c>
      <c r="C4" s="2" t="inlineStr">
        <is>
          <t>Эталон формата</t>
        </is>
      </c>
      <c r="D4" s="2" t="inlineStr">
        <is>
          <t>https://www.vseinstrumenti.ru/publication/</t>
        </is>
      </c>
      <c r="E4" s="2" t="n">
        <v>1</v>
      </c>
      <c r="F4" s="2" t="inlineStr">
        <is>
          <t>Подробные статьи для новичков, хорошая структура шагов</t>
        </is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2" t="inlineStr">
        <is>
          <t>habr.com</t>
        </is>
      </c>
      <c r="B5" s="2" t="inlineStr">
        <is>
          <t>IT-медиа, технический контент</t>
        </is>
      </c>
      <c r="C5" s="2" t="inlineStr">
        <is>
          <t>Эталон экспертности</t>
        </is>
      </c>
      <c r="D5" s="2" t="inlineStr">
        <is>
          <t>https://habr.com/ru/articles/148656/</t>
        </is>
      </c>
      <c r="E5" s="2" t="n">
        <v>1</v>
      </c>
      <c r="F5" s="2" t="inlineStr">
        <is>
          <t>Экспертный лонгрид с нюансами — бенчмарк глубины контента. 889K охват, 131 голос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2" t="inlineStr">
        <is>
          <t>xakep.ru</t>
        </is>
      </c>
      <c r="B6" s="2" t="inlineStr">
        <is>
          <t>Техническое медиа</t>
        </is>
      </c>
      <c r="C6" s="2" t="inlineStr">
        <is>
          <t>Эталон формата</t>
        </is>
      </c>
      <c r="D6" s="2" t="inlineStr">
        <is>
          <t>https://xakep.ru/2022/08/17/soldering-art/</t>
        </is>
      </c>
      <c r="E6" s="2" t="n">
        <v>1</v>
      </c>
      <c r="F6" s="2" t="inlineStr">
        <is>
          <t>Обзор инструментов — структура buyer's guide</t>
        </is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2" t="inlineStr">
        <is>
          <t>t-j.ru</t>
        </is>
      </c>
      <c r="B7" s="2" t="inlineStr">
        <is>
          <t>Лайфстайл/рейтинговое медиа</t>
        </is>
      </c>
      <c r="C7" s="2" t="inlineStr">
        <is>
          <t>Эталон формата</t>
        </is>
      </c>
      <c r="D7" s="2" t="inlineStr">
        <is>
          <t>https://t-j.ru/best-soldering-irons/</t>
        </is>
      </c>
      <c r="E7" s="2" t="n">
        <v>1</v>
      </c>
      <c r="F7" s="2" t="inlineStr">
        <is>
          <t>Рейтинг паяльников 2026 — бенчмарк для рейтинговых статей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2" t="inlineStr">
        <is>
          <t>payalniki.ru</t>
        </is>
      </c>
      <c r="B8" s="2" t="inlineStr">
        <is>
          <t>Поставки паяльного оборудования</t>
        </is>
      </c>
      <c r="C8" s="2" t="inlineStr">
        <is>
          <t>Прямой конкурент</t>
        </is>
      </c>
      <c r="D8" s="2" t="inlineStr">
        <is>
          <t>https://www.payalniki.ru/catalog/</t>
        </is>
      </c>
      <c r="E8" s="2" t="n">
        <v>0</v>
      </c>
      <c r="F8" s="2" t="inlineStr">
        <is>
          <t>Каталог без блога — слабый контент, наша возможность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2" t="inlineStr">
        <is>
          <t>alexgyver.ru</t>
        </is>
      </c>
      <c r="B9" s="2" t="inlineStr">
        <is>
          <t>DIY электроника, обучающий контент</t>
        </is>
      </c>
      <c r="C9" s="2" t="inlineStr">
        <is>
          <t>Косвенный конкурент / эталон</t>
        </is>
      </c>
      <c r="D9" s="2" t="inlineStr">
        <is>
          <t>https://alexgyver.ru/all-for-soldering/</t>
        </is>
      </c>
      <c r="E9" s="2" t="n">
        <v>3</v>
      </c>
      <c r="F9" s="2" t="inlineStr">
        <is>
          <t>Видео 2.1M+ просмотров о пайке, подборка товаров. Сильный авторитет у новичков. Текстового блога нет — наша возможность занять нишу статьями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2" t="inlineStr">
        <is>
          <t>sea.com.ua</t>
        </is>
      </c>
      <c r="B10" s="2" t="inlineStr">
        <is>
          <t>Поставки паяльного оборудования (Украина)</t>
        </is>
      </c>
      <c r="C10" s="2" t="inlineStr">
        <is>
          <t>Косвенный конкурент</t>
        </is>
      </c>
      <c r="D10" s="2" t="inlineStr">
        <is>
          <t>https://www.sea.com.ua/ua/payalnoe-oborudovanie-i-instrument/news/</t>
        </is>
      </c>
      <c r="E10" s="2" t="n">
        <v>2</v>
      </c>
      <c r="F10" s="2" t="inlineStr">
        <is>
          <t>Детальные статьи для новичков на украинском + рус. Хороший структурный бенчмарк, но аудитория другая. Статья "Как научиться паять" — 25K просмотров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" t="inlineStr">
        <is>
          <t>lemanapro.ru</t>
        </is>
      </c>
      <c r="B11" s="2" t="inlineStr">
        <is>
          <t>Строительный гипермаркет (Leroy Merlin)</t>
        </is>
      </c>
      <c r="C11" s="2" t="inlineStr">
        <is>
          <t>Косвенный конкурент</t>
        </is>
      </c>
      <c r="D11" s="2" t="inlineStr">
        <is>
          <t>https://lemanapro.ru/advice/instrumenty/</t>
        </is>
      </c>
      <c r="E11" s="2" t="n">
        <v>1</v>
      </c>
      <c r="F11" s="2" t="inlineStr">
        <is>
          <t>Статья о пайке в домашних условиях. Закрыт для парсинга (401), но присутствует в выдаче по нашим ключевым запросам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2" t="inlineStr">
        <is>
          <t>ruselectronic.com</t>
        </is>
      </c>
      <c r="B12" s="2" t="inlineStr">
        <is>
          <t>Практическая электроника — обучающие статьи по ремонту</t>
        </is>
      </c>
      <c r="C12" s="2" t="inlineStr">
        <is>
          <t>Косвенный конкурент</t>
        </is>
      </c>
      <c r="D12" s="2" t="inlineStr">
        <is>
          <t>https://ruselectronic.com/</t>
        </is>
      </c>
      <c r="E12" s="2" t="n">
        <v>3</v>
      </c>
      <c r="F12" s="2" t="inlineStr">
        <is>
          <t>Пошаговые инструкции по замене разъёмов, ремонту телефонов. Тексты без видео, есть фото. Хорошо индексируется Яндексом. Нишевый блог-конкурент в кластере 'Ремонт электроники'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2" t="inlineStr">
        <is>
          <t>5353.by</t>
        </is>
      </c>
      <c r="B13" s="2" t="inlineStr">
        <is>
          <t>Сервис ремонта техники (Беларусь)</t>
        </is>
      </c>
      <c r="C13" s="2" t="inlineStr">
        <is>
          <t>Косвенный конкурент</t>
        </is>
      </c>
      <c r="D13" s="2" t="inlineStr">
        <is>
          <t>https://5353.by/kak-pochinit-zamenit-propayt-raziem-tupe-c/</t>
        </is>
      </c>
      <c r="E13" s="2" t="n">
        <v>1</v>
      </c>
      <c r="F13" s="2" t="inlineStr">
        <is>
          <t>Статья по замене разъёма Type-C, контент закрыт за формой. Продвигается в РФ-выдаче по запросу 'поменять разъём зарядки'. Слабый конкурент по E-E-A-T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2" t="inlineStr">
        <is>
          <t>supereyes.ru</t>
        </is>
      </c>
      <c r="B14" s="2" t="inlineStr">
        <is>
          <t>Нишевый гипермаркет измерительных приборов и паяльного оборудования</t>
        </is>
      </c>
      <c r="C14" s="2" t="inlineStr">
        <is>
          <t>Прямой B2C конкурент</t>
        </is>
      </c>
      <c r="D14" s="2" t="inlineStr">
        <is>
          <t>https://supereyes.ru/articles/</t>
        </is>
      </c>
      <c r="E14" s="2" t="n">
        <v>8</v>
      </c>
      <c r="F14" s="2" t="inlineStr">
        <is>
          <t>Сильный экспертный блог. Высокий авторитет по BGA, оптике, выбору станций и рейтингам.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2" t="inlineStr">
        <is>
          <t>est-smt.ru</t>
        </is>
      </c>
      <c r="B15" s="2" t="inlineStr">
        <is>
          <t>Поставщик SMT и BGA оборудования</t>
        </is>
      </c>
      <c r="C15" s="2" t="inlineStr">
        <is>
          <t>Тематический B2B/B2C конкурент</t>
        </is>
      </c>
      <c r="D15" s="2" t="inlineStr">
        <is>
          <t>https://est-smt.ru/stati/</t>
        </is>
      </c>
      <c r="E15" s="2" t="n">
        <v>4</v>
      </c>
      <c r="F15" s="2" t="inlineStr">
        <is>
          <t>Глубокие статьи по технологии реболлинга, монтажу BGA и работе с паяльными пастами.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6" t="inlineStr">
        <is>
          <t>mobile-shrek.com.ua</t>
        </is>
      </c>
      <c r="B16" s="2" t="inlineStr">
        <is>
          <t>Магазин запчастей и расходников для пайки (Украина)</t>
        </is>
      </c>
      <c r="C16" s="2" t="inlineStr">
        <is>
          <t>Косвенный конкурент</t>
        </is>
      </c>
      <c r="D16" s="6" t="inlineStr">
        <is>
          <t>https://mobile-shrek.com.ua/ru/blog/payalniky</t>
        </is>
      </c>
      <c r="E16" s="2" t="n">
        <v>21</v>
      </c>
      <c r="F16" s="2" t="inlineStr">
        <is>
          <t>Активный блог: SMD-пайка, обзоры T12D, OSS T210, прошивка TS101. Индексируется в РФ.</t>
        </is>
      </c>
      <c r="G16" s="7" t="n">
        <v>46249</v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4" t="inlineStr">
        <is>
          <t>electronix.ru</t>
        </is>
      </c>
      <c r="B17" s="5" t="inlineStr">
        <is>
          <t>Профессиональный форум по электронике</t>
        </is>
      </c>
      <c r="C17" s="5" t="inlineStr">
        <is>
          <t>Косвенный конкурент / Сообщество</t>
        </is>
      </c>
      <c r="D17" s="4" t="inlineStr">
        <is>
          <t>https://electronix.ru/forum/forum/38-payka-i-montazh/</t>
        </is>
      </c>
      <c r="E17" s="5" t="inlineStr">
        <is>
          <t>—</t>
        </is>
      </c>
      <c r="F17" s="5" t="inlineStr">
        <is>
          <t>Крупнейший форум РФ, раздел «Пайка и монтаж». Источник семантики, формирует ожидания аудитории.</t>
        </is>
      </c>
      <c r="G17" s="7" t="n">
        <v>46249</v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4" t="inlineStr">
        <is>
          <t>pcbasic.com</t>
        </is>
      </c>
      <c r="B18" s="5" t="inlineStr">
        <is>
          <t>Контрактный производитель PCB (рус. блог)</t>
        </is>
      </c>
      <c r="C18" s="5" t="inlineStr">
        <is>
          <t>Косвенный информационный конкурент</t>
        </is>
      </c>
      <c r="D18" s="5" t="inlineStr">
        <is>
          <t>[link removed]</t>
        </is>
      </c>
      <c r="E18" s="5" t="inlineStr">
        <is>
          <t>—</t>
        </is>
      </c>
      <c r="F18" s="5" t="inlineStr">
        <is>
          <t>Попадает в выдачу по «пайка SMD компонентов». B2B аудитория.</t>
        </is>
      </c>
      <c r="G18" s="7" t="n">
        <v>46249</v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7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7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7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7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7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7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7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7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7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7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7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7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7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7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7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7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7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7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7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7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7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7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7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7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7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7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7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7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7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7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7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7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7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7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7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7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7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7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7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7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7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7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7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7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7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7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7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7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7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7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7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7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7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7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7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7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7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7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7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7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7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7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7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7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7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7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7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7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7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7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7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7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7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7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7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7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7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7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7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7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7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7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7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7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7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7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7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7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7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7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7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7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7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7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7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7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7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7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7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7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7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7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7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7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7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7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7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7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7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7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7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7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7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7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7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7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7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7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7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7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7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7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7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7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7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7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7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7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7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7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7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7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7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7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7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7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7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7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7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7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7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7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7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7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7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7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7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7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7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7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7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7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7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7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7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7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7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7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7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7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7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7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7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7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7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7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7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7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7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7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7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7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7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7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7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7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7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7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7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7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7">
      <c r="A221" s="5" t="n"/>
      <c r="B221" s="5" t="n"/>
      <c r="C221" s="5" t="n"/>
      <c r="D221" s="5" t="n"/>
      <c r="E221" s="5" t="n"/>
      <c r="F221" s="5" t="n"/>
      <c r="G221" s="5" t="n"/>
    </row>
    <row r="222" ht="15.75" customHeight="1" s="17">
      <c r="A222" s="5" t="n"/>
      <c r="B222" s="5" t="n"/>
      <c r="C222" s="5" t="n"/>
      <c r="D222" s="5" t="n"/>
      <c r="E222" s="5" t="n"/>
      <c r="F222" s="5" t="n"/>
      <c r="G222" s="5" t="n"/>
    </row>
    <row r="223" ht="15.75" customHeight="1" s="17">
      <c r="A223" s="5" t="n"/>
      <c r="B223" s="5" t="n"/>
      <c r="C223" s="5" t="n"/>
      <c r="D223" s="5" t="n"/>
      <c r="E223" s="5" t="n"/>
      <c r="F223" s="5" t="n"/>
      <c r="G223" s="5" t="n"/>
    </row>
    <row r="224" ht="15.75" customHeight="1" s="17">
      <c r="A224" s="5" t="n"/>
      <c r="B224" s="5" t="n"/>
      <c r="C224" s="5" t="n"/>
      <c r="D224" s="5" t="n"/>
      <c r="E224" s="5" t="n"/>
      <c r="F224" s="5" t="n"/>
      <c r="G224" s="5" t="n"/>
    </row>
    <row r="225" ht="15.75" customHeight="1" s="17">
      <c r="A225" s="5" t="n"/>
      <c r="B225" s="5" t="n"/>
      <c r="C225" s="5" t="n"/>
      <c r="D225" s="5" t="n"/>
      <c r="E225" s="5" t="n"/>
      <c r="F225" s="5" t="n"/>
      <c r="G225" s="5" t="n"/>
    </row>
    <row r="226" ht="15.75" customHeight="1" s="17">
      <c r="A226" s="5" t="n"/>
      <c r="B226" s="5" t="n"/>
      <c r="C226" s="5" t="n"/>
      <c r="D226" s="5" t="n"/>
      <c r="E226" s="5" t="n"/>
      <c r="F226" s="5" t="n"/>
      <c r="G226" s="5" t="n"/>
    </row>
    <row r="227" ht="15.75" customHeight="1" s="17">
      <c r="A227" s="5" t="n"/>
      <c r="B227" s="5" t="n"/>
      <c r="C227" s="5" t="n"/>
      <c r="D227" s="5" t="n"/>
      <c r="E227" s="5" t="n"/>
      <c r="F227" s="5" t="n"/>
      <c r="G227" s="5" t="n"/>
    </row>
    <row r="228" ht="15.75" customHeight="1" s="17">
      <c r="A228" s="5" t="n"/>
      <c r="B228" s="5" t="n"/>
      <c r="C228" s="5" t="n"/>
      <c r="D228" s="5" t="n"/>
      <c r="E228" s="5" t="n"/>
      <c r="F228" s="5" t="n"/>
      <c r="G228" s="5" t="n"/>
    </row>
    <row r="229" ht="15.75" customHeight="1" s="17">
      <c r="A229" s="5" t="n"/>
      <c r="B229" s="5" t="n"/>
      <c r="C229" s="5" t="n"/>
      <c r="D229" s="5" t="n"/>
      <c r="E229" s="5" t="n"/>
      <c r="F229" s="5" t="n"/>
      <c r="G229" s="5" t="n"/>
    </row>
    <row r="230" ht="15.75" customHeight="1" s="17">
      <c r="A230" s="5" t="n"/>
      <c r="B230" s="5" t="n"/>
      <c r="C230" s="5" t="n"/>
      <c r="D230" s="5" t="n"/>
      <c r="E230" s="5" t="n"/>
      <c r="F230" s="5" t="n"/>
      <c r="G230" s="5" t="n"/>
    </row>
    <row r="231" ht="15.75" customHeight="1" s="17">
      <c r="A231" s="5" t="n"/>
      <c r="B231" s="5" t="n"/>
      <c r="C231" s="5" t="n"/>
      <c r="D231" s="5" t="n"/>
      <c r="E231" s="5" t="n"/>
      <c r="F231" s="5" t="n"/>
      <c r="G231" s="5" t="n"/>
    </row>
    <row r="232" ht="15.75" customHeight="1" s="17">
      <c r="A232" s="5" t="n"/>
      <c r="B232" s="5" t="n"/>
      <c r="C232" s="5" t="n"/>
      <c r="D232" s="5" t="n"/>
      <c r="E232" s="5" t="n"/>
      <c r="F232" s="5" t="n"/>
      <c r="G232" s="5" t="n"/>
    </row>
    <row r="233" ht="15.75" customHeight="1" s="17">
      <c r="A233" s="5" t="n"/>
      <c r="B233" s="5" t="n"/>
      <c r="C233" s="5" t="n"/>
      <c r="D233" s="5" t="n"/>
      <c r="E233" s="5" t="n"/>
      <c r="F233" s="5" t="n"/>
      <c r="G233" s="5" t="n"/>
    </row>
    <row r="234" ht="15.75" customHeight="1" s="17">
      <c r="A234" s="5" t="n"/>
      <c r="B234" s="5" t="n"/>
      <c r="C234" s="5" t="n"/>
      <c r="D234" s="5" t="n"/>
      <c r="E234" s="5" t="n"/>
      <c r="F234" s="5" t="n"/>
      <c r="G234" s="5" t="n"/>
    </row>
    <row r="235" ht="15.75" customHeight="1" s="17">
      <c r="A235" s="5" t="n"/>
      <c r="B235" s="5" t="n"/>
      <c r="C235" s="5" t="n"/>
      <c r="D235" s="5" t="n"/>
      <c r="E235" s="5" t="n"/>
      <c r="F235" s="5" t="n"/>
      <c r="G235" s="5" t="n"/>
    </row>
    <row r="236" ht="15.75" customHeight="1" s="17">
      <c r="A236" s="5" t="n"/>
      <c r="B236" s="5" t="n"/>
      <c r="C236" s="5" t="n"/>
      <c r="D236" s="5" t="n"/>
      <c r="E236" s="5" t="n"/>
      <c r="F236" s="5" t="n"/>
      <c r="G236" s="5" t="n"/>
    </row>
    <row r="237" ht="15.75" customHeight="1" s="17">
      <c r="A237" s="5" t="n"/>
      <c r="B237" s="5" t="n"/>
      <c r="C237" s="5" t="n"/>
      <c r="D237" s="5" t="n"/>
      <c r="E237" s="5" t="n"/>
      <c r="F237" s="5" t="n"/>
      <c r="G237" s="5" t="n"/>
    </row>
    <row r="238" ht="15.75" customHeight="1" s="17">
      <c r="A238" s="5" t="n"/>
      <c r="B238" s="5" t="n"/>
      <c r="C238" s="5" t="n"/>
      <c r="D238" s="5" t="n"/>
      <c r="E238" s="5" t="n"/>
      <c r="F238" s="5" t="n"/>
      <c r="G238" s="5" t="n"/>
    </row>
    <row r="239" ht="15.75" customHeight="1" s="17">
      <c r="A239" s="5" t="n"/>
      <c r="B239" s="5" t="n"/>
      <c r="C239" s="5" t="n"/>
      <c r="D239" s="5" t="n"/>
      <c r="E239" s="5" t="n"/>
      <c r="F239" s="5" t="n"/>
      <c r="G239" s="5" t="n"/>
    </row>
    <row r="240" ht="15.75" customHeight="1" s="17">
      <c r="A240" s="5" t="n"/>
      <c r="B240" s="5" t="n"/>
      <c r="C240" s="5" t="n"/>
      <c r="D240" s="5" t="n"/>
      <c r="E240" s="5" t="n"/>
      <c r="F240" s="5" t="n"/>
      <c r="G240" s="5" t="n"/>
    </row>
    <row r="241" ht="15.75" customHeight="1" s="17">
      <c r="A241" s="5" t="n"/>
      <c r="B241" s="5" t="n"/>
      <c r="C241" s="5" t="n"/>
      <c r="D241" s="5" t="n"/>
      <c r="E241" s="5" t="n"/>
      <c r="F241" s="5" t="n"/>
      <c r="G241" s="5" t="n"/>
    </row>
    <row r="242" ht="15.75" customHeight="1" s="17">
      <c r="A242" s="5" t="n"/>
      <c r="B242" s="5" t="n"/>
      <c r="C242" s="5" t="n"/>
      <c r="D242" s="5" t="n"/>
      <c r="E242" s="5" t="n"/>
      <c r="F242" s="5" t="n"/>
      <c r="G242" s="5" t="n"/>
    </row>
    <row r="243" ht="15.75" customHeight="1" s="17">
      <c r="A243" s="5" t="n"/>
      <c r="B243" s="5" t="n"/>
      <c r="C243" s="5" t="n"/>
      <c r="D243" s="5" t="n"/>
      <c r="E243" s="5" t="n"/>
      <c r="F243" s="5" t="n"/>
      <c r="G243" s="5" t="n"/>
    </row>
    <row r="244" ht="15.75" customHeight="1" s="17">
      <c r="A244" s="5" t="n"/>
      <c r="B244" s="5" t="n"/>
      <c r="C244" s="5" t="n"/>
      <c r="D244" s="5" t="n"/>
      <c r="E244" s="5" t="n"/>
      <c r="F244" s="5" t="n"/>
      <c r="G244" s="5" t="n"/>
    </row>
    <row r="245" ht="15.75" customHeight="1" s="17">
      <c r="A245" s="5" t="n"/>
      <c r="B245" s="5" t="n"/>
      <c r="C245" s="5" t="n"/>
      <c r="D245" s="5" t="n"/>
      <c r="E245" s="5" t="n"/>
      <c r="F245" s="5" t="n"/>
      <c r="G245" s="5" t="n"/>
    </row>
    <row r="246" ht="15.75" customHeight="1" s="17">
      <c r="A246" s="5" t="n"/>
      <c r="B246" s="5" t="n"/>
      <c r="C246" s="5" t="n"/>
      <c r="D246" s="5" t="n"/>
      <c r="E246" s="5" t="n"/>
      <c r="F246" s="5" t="n"/>
      <c r="G246" s="5" t="n"/>
    </row>
    <row r="247" ht="15.75" customHeight="1" s="17">
      <c r="A247" s="5" t="n"/>
      <c r="B247" s="5" t="n"/>
      <c r="C247" s="5" t="n"/>
      <c r="D247" s="5" t="n"/>
      <c r="E247" s="5" t="n"/>
      <c r="F247" s="5" t="n"/>
      <c r="G247" s="5" t="n"/>
    </row>
    <row r="248" ht="15.75" customHeight="1" s="17">
      <c r="A248" s="5" t="n"/>
      <c r="B248" s="5" t="n"/>
      <c r="C248" s="5" t="n"/>
      <c r="D248" s="5" t="n"/>
      <c r="E248" s="5" t="n"/>
      <c r="F248" s="5" t="n"/>
      <c r="G248" s="5" t="n"/>
    </row>
    <row r="249" ht="15.75" customHeight="1" s="17">
      <c r="A249" s="5" t="n"/>
      <c r="B249" s="5" t="n"/>
      <c r="C249" s="5" t="n"/>
      <c r="D249" s="5" t="n"/>
      <c r="E249" s="5" t="n"/>
      <c r="F249" s="5" t="n"/>
      <c r="G249" s="5" t="n"/>
    </row>
    <row r="250" ht="15.75" customHeight="1" s="17">
      <c r="A250" s="5" t="n"/>
      <c r="B250" s="5" t="n"/>
      <c r="C250" s="5" t="n"/>
      <c r="D250" s="5" t="n"/>
      <c r="E250" s="5" t="n"/>
      <c r="F250" s="5" t="n"/>
      <c r="G250" s="5" t="n"/>
    </row>
    <row r="251" ht="15.75" customHeight="1" s="17">
      <c r="A251" s="5" t="n"/>
      <c r="B251" s="5" t="n"/>
      <c r="C251" s="5" t="n"/>
      <c r="D251" s="5" t="n"/>
      <c r="E251" s="5" t="n"/>
      <c r="F251" s="5" t="n"/>
      <c r="G251" s="5" t="n"/>
    </row>
    <row r="252" ht="15.75" customHeight="1" s="17">
      <c r="A252" s="5" t="n"/>
      <c r="B252" s="5" t="n"/>
      <c r="C252" s="5" t="n"/>
      <c r="D252" s="5" t="n"/>
      <c r="E252" s="5" t="n"/>
      <c r="F252" s="5" t="n"/>
      <c r="G252" s="5" t="n"/>
    </row>
    <row r="253" ht="15.75" customHeight="1" s="17">
      <c r="A253" s="5" t="n"/>
      <c r="B253" s="5" t="n"/>
      <c r="C253" s="5" t="n"/>
      <c r="D253" s="5" t="n"/>
      <c r="E253" s="5" t="n"/>
      <c r="F253" s="5" t="n"/>
      <c r="G253" s="5" t="n"/>
    </row>
    <row r="254" ht="15.75" customHeight="1" s="17">
      <c r="A254" s="5" t="n"/>
      <c r="B254" s="5" t="n"/>
      <c r="C254" s="5" t="n"/>
      <c r="D254" s="5" t="n"/>
      <c r="E254" s="5" t="n"/>
      <c r="F254" s="5" t="n"/>
      <c r="G254" s="5" t="n"/>
    </row>
    <row r="255" ht="15.75" customHeight="1" s="17">
      <c r="A255" s="5" t="n"/>
      <c r="B255" s="5" t="n"/>
      <c r="C255" s="5" t="n"/>
      <c r="D255" s="5" t="n"/>
      <c r="E255" s="5" t="n"/>
      <c r="F255" s="5" t="n"/>
      <c r="G255" s="5" t="n"/>
    </row>
    <row r="256" ht="15.75" customHeight="1" s="17">
      <c r="A256" s="5" t="n"/>
      <c r="B256" s="5" t="n"/>
      <c r="C256" s="5" t="n"/>
      <c r="D256" s="5" t="n"/>
      <c r="E256" s="5" t="n"/>
      <c r="F256" s="5" t="n"/>
      <c r="G256" s="5" t="n"/>
    </row>
    <row r="257" ht="15.75" customHeight="1" s="17">
      <c r="A257" s="5" t="n"/>
      <c r="B257" s="5" t="n"/>
      <c r="C257" s="5" t="n"/>
      <c r="D257" s="5" t="n"/>
      <c r="E257" s="5" t="n"/>
      <c r="F257" s="5" t="n"/>
      <c r="G257" s="5" t="n"/>
    </row>
    <row r="258" ht="15.75" customHeight="1" s="17">
      <c r="A258" s="5" t="n"/>
      <c r="B258" s="5" t="n"/>
      <c r="C258" s="5" t="n"/>
      <c r="D258" s="5" t="n"/>
      <c r="E258" s="5" t="n"/>
      <c r="F258" s="5" t="n"/>
      <c r="G258" s="5" t="n"/>
    </row>
    <row r="259" ht="15.75" customHeight="1" s="17">
      <c r="A259" s="5" t="n"/>
      <c r="B259" s="5" t="n"/>
      <c r="C259" s="5" t="n"/>
      <c r="D259" s="5" t="n"/>
      <c r="E259" s="5" t="n"/>
      <c r="F259" s="5" t="n"/>
      <c r="G259" s="5" t="n"/>
    </row>
    <row r="260" ht="15.75" customHeight="1" s="17">
      <c r="A260" s="5" t="n"/>
      <c r="B260" s="5" t="n"/>
      <c r="C260" s="5" t="n"/>
      <c r="D260" s="5" t="n"/>
      <c r="E260" s="5" t="n"/>
      <c r="F260" s="5" t="n"/>
      <c r="G260" s="5" t="n"/>
    </row>
    <row r="261" ht="15.75" customHeight="1" s="17">
      <c r="A261" s="5" t="n"/>
      <c r="B261" s="5" t="n"/>
      <c r="C261" s="5" t="n"/>
      <c r="D261" s="5" t="n"/>
      <c r="E261" s="5" t="n"/>
      <c r="F261" s="5" t="n"/>
      <c r="G261" s="5" t="n"/>
    </row>
    <row r="262" ht="15.75" customHeight="1" s="17">
      <c r="A262" s="5" t="n"/>
      <c r="B262" s="5" t="n"/>
      <c r="C262" s="5" t="n"/>
      <c r="D262" s="5" t="n"/>
      <c r="E262" s="5" t="n"/>
      <c r="F262" s="5" t="n"/>
      <c r="G262" s="5" t="n"/>
    </row>
    <row r="263" ht="15.75" customHeight="1" s="17">
      <c r="A263" s="5" t="n"/>
      <c r="B263" s="5" t="n"/>
      <c r="C263" s="5" t="n"/>
      <c r="D263" s="5" t="n"/>
      <c r="E263" s="5" t="n"/>
      <c r="F263" s="5" t="n"/>
      <c r="G263" s="5" t="n"/>
    </row>
    <row r="264" ht="15.75" customHeight="1" s="17">
      <c r="A264" s="5" t="n"/>
      <c r="B264" s="5" t="n"/>
      <c r="C264" s="5" t="n"/>
      <c r="D264" s="5" t="n"/>
      <c r="E264" s="5" t="n"/>
      <c r="F264" s="5" t="n"/>
      <c r="G264" s="5" t="n"/>
    </row>
    <row r="265" ht="15.75" customHeight="1" s="17">
      <c r="A265" s="5" t="n"/>
      <c r="B265" s="5" t="n"/>
      <c r="C265" s="5" t="n"/>
      <c r="D265" s="5" t="n"/>
      <c r="E265" s="5" t="n"/>
      <c r="F265" s="5" t="n"/>
      <c r="G265" s="5" t="n"/>
    </row>
    <row r="266" ht="15.75" customHeight="1" s="17">
      <c r="A266" s="5" t="n"/>
      <c r="B266" s="5" t="n"/>
      <c r="C266" s="5" t="n"/>
      <c r="D266" s="5" t="n"/>
      <c r="E266" s="5" t="n"/>
      <c r="F266" s="5" t="n"/>
      <c r="G266" s="5" t="n"/>
    </row>
    <row r="267" ht="15.75" customHeight="1" s="17">
      <c r="A267" s="5" t="n"/>
      <c r="B267" s="5" t="n"/>
      <c r="C267" s="5" t="n"/>
      <c r="D267" s="5" t="n"/>
      <c r="E267" s="5" t="n"/>
      <c r="F267" s="5" t="n"/>
      <c r="G267" s="5" t="n"/>
    </row>
    <row r="268" ht="15.75" customHeight="1" s="17">
      <c r="A268" s="5" t="n"/>
      <c r="B268" s="5" t="n"/>
      <c r="C268" s="5" t="n"/>
      <c r="D268" s="5" t="n"/>
      <c r="E268" s="5" t="n"/>
      <c r="F268" s="5" t="n"/>
      <c r="G268" s="5" t="n"/>
    </row>
    <row r="269" ht="15.75" customHeight="1" s="17">
      <c r="A269" s="5" t="n"/>
      <c r="B269" s="5" t="n"/>
      <c r="C269" s="5" t="n"/>
      <c r="D269" s="5" t="n"/>
      <c r="E269" s="5" t="n"/>
      <c r="F269" s="5" t="n"/>
      <c r="G269" s="5" t="n"/>
    </row>
    <row r="270" ht="15.75" customHeight="1" s="17">
      <c r="A270" s="5" t="n"/>
      <c r="B270" s="5" t="n"/>
      <c r="C270" s="5" t="n"/>
      <c r="D270" s="5" t="n"/>
      <c r="E270" s="5" t="n"/>
      <c r="F270" s="5" t="n"/>
      <c r="G270" s="5" t="n"/>
    </row>
    <row r="271" ht="15.75" customHeight="1" s="17">
      <c r="A271" s="5" t="n"/>
      <c r="B271" s="5" t="n"/>
      <c r="C271" s="5" t="n"/>
      <c r="D271" s="5" t="n"/>
      <c r="E271" s="5" t="n"/>
      <c r="F271" s="5" t="n"/>
      <c r="G271" s="5" t="n"/>
    </row>
    <row r="272" ht="15.75" customHeight="1" s="17">
      <c r="A272" s="5" t="n"/>
      <c r="B272" s="5" t="n"/>
      <c r="C272" s="5" t="n"/>
      <c r="D272" s="5" t="n"/>
      <c r="E272" s="5" t="n"/>
      <c r="F272" s="5" t="n"/>
      <c r="G272" s="5" t="n"/>
    </row>
    <row r="273" ht="15.75" customHeight="1" s="17">
      <c r="A273" s="5" t="n"/>
      <c r="B273" s="5" t="n"/>
      <c r="C273" s="5" t="n"/>
      <c r="D273" s="5" t="n"/>
      <c r="E273" s="5" t="n"/>
      <c r="F273" s="5" t="n"/>
      <c r="G273" s="5" t="n"/>
    </row>
    <row r="274" ht="15.75" customHeight="1" s="17">
      <c r="A274" s="5" t="n"/>
      <c r="B274" s="5" t="n"/>
      <c r="C274" s="5" t="n"/>
      <c r="D274" s="5" t="n"/>
      <c r="E274" s="5" t="n"/>
      <c r="F274" s="5" t="n"/>
      <c r="G274" s="5" t="n"/>
    </row>
    <row r="275" ht="15.75" customHeight="1" s="17">
      <c r="A275" s="5" t="n"/>
      <c r="B275" s="5" t="n"/>
      <c r="C275" s="5" t="n"/>
      <c r="D275" s="5" t="n"/>
      <c r="E275" s="5" t="n"/>
      <c r="F275" s="5" t="n"/>
      <c r="G275" s="5" t="n"/>
    </row>
    <row r="276" ht="15.75" customHeight="1" s="17">
      <c r="A276" s="5" t="n"/>
      <c r="B276" s="5" t="n"/>
      <c r="C276" s="5" t="n"/>
      <c r="D276" s="5" t="n"/>
      <c r="E276" s="5" t="n"/>
      <c r="F276" s="5" t="n"/>
      <c r="G276" s="5" t="n"/>
    </row>
    <row r="277" ht="15.75" customHeight="1" s="17">
      <c r="A277" s="5" t="n"/>
      <c r="B277" s="5" t="n"/>
      <c r="C277" s="5" t="n"/>
      <c r="D277" s="5" t="n"/>
      <c r="E277" s="5" t="n"/>
      <c r="F277" s="5" t="n"/>
      <c r="G277" s="5" t="n"/>
    </row>
    <row r="278" ht="15.75" customHeight="1" s="17">
      <c r="A278" s="5" t="n"/>
      <c r="B278" s="5" t="n"/>
      <c r="C278" s="5" t="n"/>
      <c r="D278" s="5" t="n"/>
      <c r="E278" s="5" t="n"/>
      <c r="F278" s="5" t="n"/>
      <c r="G278" s="5" t="n"/>
    </row>
    <row r="279" ht="15.75" customHeight="1" s="17">
      <c r="A279" s="5" t="n"/>
      <c r="B279" s="5" t="n"/>
      <c r="C279" s="5" t="n"/>
      <c r="D279" s="5" t="n"/>
      <c r="E279" s="5" t="n"/>
      <c r="F279" s="5" t="n"/>
      <c r="G279" s="5" t="n"/>
    </row>
    <row r="280" ht="15.75" customHeight="1" s="17">
      <c r="A280" s="5" t="n"/>
      <c r="B280" s="5" t="n"/>
      <c r="C280" s="5" t="n"/>
      <c r="D280" s="5" t="n"/>
      <c r="E280" s="5" t="n"/>
      <c r="F280" s="5" t="n"/>
      <c r="G280" s="5" t="n"/>
    </row>
    <row r="281" ht="15.75" customHeight="1" s="17">
      <c r="A281" s="5" t="n"/>
      <c r="B281" s="5" t="n"/>
      <c r="C281" s="5" t="n"/>
      <c r="D281" s="5" t="n"/>
      <c r="E281" s="5" t="n"/>
      <c r="F281" s="5" t="n"/>
      <c r="G281" s="5" t="n"/>
    </row>
    <row r="282" ht="15.75" customHeight="1" s="17">
      <c r="A282" s="5" t="n"/>
      <c r="B282" s="5" t="n"/>
      <c r="C282" s="5" t="n"/>
      <c r="D282" s="5" t="n"/>
      <c r="E282" s="5" t="n"/>
      <c r="F282" s="5" t="n"/>
      <c r="G282" s="5" t="n"/>
    </row>
    <row r="283" ht="15.75" customHeight="1" s="17">
      <c r="A283" s="5" t="n"/>
      <c r="B283" s="5" t="n"/>
      <c r="C283" s="5" t="n"/>
      <c r="D283" s="5" t="n"/>
      <c r="E283" s="5" t="n"/>
      <c r="F283" s="5" t="n"/>
      <c r="G283" s="5" t="n"/>
    </row>
    <row r="284" ht="15.75" customHeight="1" s="17">
      <c r="A284" s="5" t="n"/>
      <c r="B284" s="5" t="n"/>
      <c r="C284" s="5" t="n"/>
      <c r="D284" s="5" t="n"/>
      <c r="E284" s="5" t="n"/>
      <c r="F284" s="5" t="n"/>
      <c r="G284" s="5" t="n"/>
    </row>
    <row r="285" ht="15.75" customHeight="1" s="17">
      <c r="A285" s="5" t="n"/>
      <c r="B285" s="5" t="n"/>
      <c r="C285" s="5" t="n"/>
      <c r="D285" s="5" t="n"/>
      <c r="E285" s="5" t="n"/>
      <c r="F285" s="5" t="n"/>
      <c r="G285" s="5" t="n"/>
    </row>
    <row r="286" ht="15.75" customHeight="1" s="17">
      <c r="A286" s="5" t="n"/>
      <c r="B286" s="5" t="n"/>
      <c r="C286" s="5" t="n"/>
      <c r="D286" s="5" t="n"/>
      <c r="E286" s="5" t="n"/>
      <c r="F286" s="5" t="n"/>
      <c r="G286" s="5" t="n"/>
    </row>
    <row r="287" ht="15.75" customHeight="1" s="17">
      <c r="A287" s="5" t="n"/>
      <c r="B287" s="5" t="n"/>
      <c r="C287" s="5" t="n"/>
      <c r="D287" s="5" t="n"/>
      <c r="E287" s="5" t="n"/>
      <c r="F287" s="5" t="n"/>
      <c r="G287" s="5" t="n"/>
    </row>
    <row r="288" ht="15.75" customHeight="1" s="17">
      <c r="A288" s="5" t="n"/>
      <c r="B288" s="5" t="n"/>
      <c r="C288" s="5" t="n"/>
      <c r="D288" s="5" t="n"/>
      <c r="E288" s="5" t="n"/>
      <c r="F288" s="5" t="n"/>
      <c r="G288" s="5" t="n"/>
    </row>
    <row r="289" ht="15.75" customHeight="1" s="17">
      <c r="A289" s="5" t="n"/>
      <c r="B289" s="5" t="n"/>
      <c r="C289" s="5" t="n"/>
      <c r="D289" s="5" t="n"/>
      <c r="E289" s="5" t="n"/>
      <c r="F289" s="5" t="n"/>
      <c r="G289" s="5" t="n"/>
    </row>
    <row r="290" ht="15.75" customHeight="1" s="17">
      <c r="A290" s="5" t="n"/>
      <c r="B290" s="5" t="n"/>
      <c r="C290" s="5" t="n"/>
      <c r="D290" s="5" t="n"/>
      <c r="E290" s="5" t="n"/>
      <c r="F290" s="5" t="n"/>
      <c r="G290" s="5" t="n"/>
    </row>
    <row r="291" ht="15.75" customHeight="1" s="17">
      <c r="A291" s="5" t="n"/>
      <c r="B291" s="5" t="n"/>
      <c r="C291" s="5" t="n"/>
      <c r="D291" s="5" t="n"/>
      <c r="E291" s="5" t="n"/>
      <c r="F291" s="5" t="n"/>
      <c r="G291" s="5" t="n"/>
    </row>
    <row r="292" ht="15.75" customHeight="1" s="17">
      <c r="A292" s="5" t="n"/>
      <c r="B292" s="5" t="n"/>
      <c r="C292" s="5" t="n"/>
      <c r="D292" s="5" t="n"/>
      <c r="E292" s="5" t="n"/>
      <c r="F292" s="5" t="n"/>
      <c r="G292" s="5" t="n"/>
    </row>
    <row r="293" ht="15.75" customHeight="1" s="17">
      <c r="A293" s="5" t="n"/>
      <c r="B293" s="5" t="n"/>
      <c r="C293" s="5" t="n"/>
      <c r="D293" s="5" t="n"/>
      <c r="E293" s="5" t="n"/>
      <c r="F293" s="5" t="n"/>
      <c r="G293" s="5" t="n"/>
    </row>
    <row r="294" ht="15.75" customHeight="1" s="17">
      <c r="A294" s="5" t="n"/>
      <c r="B294" s="5" t="n"/>
      <c r="C294" s="5" t="n"/>
      <c r="D294" s="5" t="n"/>
      <c r="E294" s="5" t="n"/>
      <c r="F294" s="5" t="n"/>
      <c r="G294" s="5" t="n"/>
    </row>
    <row r="295" ht="15.75" customHeight="1" s="17">
      <c r="A295" s="5" t="n"/>
      <c r="B295" s="5" t="n"/>
      <c r="C295" s="5" t="n"/>
      <c r="D295" s="5" t="n"/>
      <c r="E295" s="5" t="n"/>
      <c r="F295" s="5" t="n"/>
      <c r="G295" s="5" t="n"/>
    </row>
    <row r="296" ht="15.75" customHeight="1" s="17">
      <c r="A296" s="5" t="n"/>
      <c r="B296" s="5" t="n"/>
      <c r="C296" s="5" t="n"/>
      <c r="D296" s="5" t="n"/>
      <c r="E296" s="5" t="n"/>
      <c r="F296" s="5" t="n"/>
      <c r="G296" s="5" t="n"/>
    </row>
    <row r="297" ht="15.75" customHeight="1" s="17">
      <c r="A297" s="5" t="n"/>
      <c r="B297" s="5" t="n"/>
      <c r="C297" s="5" t="n"/>
      <c r="D297" s="5" t="n"/>
      <c r="E297" s="5" t="n"/>
      <c r="F297" s="5" t="n"/>
      <c r="G297" s="5" t="n"/>
    </row>
    <row r="298" ht="15.75" customHeight="1" s="17">
      <c r="A298" s="5" t="n"/>
      <c r="B298" s="5" t="n"/>
      <c r="C298" s="5" t="n"/>
      <c r="D298" s="5" t="n"/>
      <c r="E298" s="5" t="n"/>
      <c r="F298" s="5" t="n"/>
      <c r="G298" s="5" t="n"/>
    </row>
    <row r="299" ht="15.75" customHeight="1" s="17">
      <c r="A299" s="5" t="n"/>
      <c r="B299" s="5" t="n"/>
      <c r="C299" s="5" t="n"/>
      <c r="D299" s="5" t="n"/>
      <c r="E299" s="5" t="n"/>
      <c r="F299" s="5" t="n"/>
      <c r="G299" s="5" t="n"/>
    </row>
    <row r="300" ht="15.75" customHeight="1" s="17">
      <c r="A300" s="5" t="n"/>
      <c r="B300" s="5" t="n"/>
      <c r="C300" s="5" t="n"/>
      <c r="D300" s="5" t="n"/>
      <c r="E300" s="5" t="n"/>
      <c r="F300" s="5" t="n"/>
      <c r="G300" s="5" t="n"/>
    </row>
    <row r="301" ht="15.75" customHeight="1" s="17">
      <c r="A301" s="5" t="n"/>
      <c r="B301" s="5" t="n"/>
      <c r="C301" s="5" t="n"/>
      <c r="D301" s="5" t="n"/>
      <c r="E301" s="5" t="n"/>
      <c r="F301" s="5" t="n"/>
      <c r="G301" s="5" t="n"/>
    </row>
    <row r="302" ht="15.75" customHeight="1" s="17">
      <c r="A302" s="5" t="n"/>
      <c r="B302" s="5" t="n"/>
      <c r="C302" s="5" t="n"/>
      <c r="D302" s="5" t="n"/>
      <c r="E302" s="5" t="n"/>
      <c r="F302" s="5" t="n"/>
      <c r="G302" s="5" t="n"/>
    </row>
    <row r="303" ht="15.75" customHeight="1" s="17">
      <c r="A303" s="5" t="n"/>
      <c r="B303" s="5" t="n"/>
      <c r="C303" s="5" t="n"/>
      <c r="D303" s="5" t="n"/>
      <c r="E303" s="5" t="n"/>
      <c r="F303" s="5" t="n"/>
      <c r="G303" s="5" t="n"/>
    </row>
    <row r="304" ht="15.75" customHeight="1" s="17">
      <c r="A304" s="5" t="n"/>
      <c r="B304" s="5" t="n"/>
      <c r="C304" s="5" t="n"/>
      <c r="D304" s="5" t="n"/>
      <c r="E304" s="5" t="n"/>
      <c r="F304" s="5" t="n"/>
      <c r="G304" s="5" t="n"/>
    </row>
    <row r="305" ht="15.75" customHeight="1" s="17">
      <c r="A305" s="5" t="n"/>
      <c r="B305" s="5" t="n"/>
      <c r="C305" s="5" t="n"/>
      <c r="D305" s="5" t="n"/>
      <c r="E305" s="5" t="n"/>
      <c r="F305" s="5" t="n"/>
      <c r="G305" s="5" t="n"/>
    </row>
    <row r="306" ht="15.75" customHeight="1" s="17">
      <c r="A306" s="5" t="n"/>
      <c r="B306" s="5" t="n"/>
      <c r="C306" s="5" t="n"/>
      <c r="D306" s="5" t="n"/>
      <c r="E306" s="5" t="n"/>
      <c r="F306" s="5" t="n"/>
      <c r="G306" s="5" t="n"/>
    </row>
    <row r="307" ht="15.75" customHeight="1" s="17">
      <c r="A307" s="5" t="n"/>
      <c r="B307" s="5" t="n"/>
      <c r="C307" s="5" t="n"/>
      <c r="D307" s="5" t="n"/>
      <c r="E307" s="5" t="n"/>
      <c r="F307" s="5" t="n"/>
      <c r="G307" s="5" t="n"/>
    </row>
    <row r="308" ht="15.75" customHeight="1" s="17">
      <c r="A308" s="5" t="n"/>
      <c r="B308" s="5" t="n"/>
      <c r="C308" s="5" t="n"/>
      <c r="D308" s="5" t="n"/>
      <c r="E308" s="5" t="n"/>
      <c r="F308" s="5" t="n"/>
      <c r="G308" s="5" t="n"/>
    </row>
    <row r="309" ht="15.75" customHeight="1" s="17">
      <c r="A309" s="5" t="n"/>
      <c r="B309" s="5" t="n"/>
      <c r="C309" s="5" t="n"/>
      <c r="D309" s="5" t="n"/>
      <c r="E309" s="5" t="n"/>
      <c r="F309" s="5" t="n"/>
      <c r="G309" s="5" t="n"/>
    </row>
    <row r="310" ht="15.75" customHeight="1" s="17">
      <c r="A310" s="5" t="n"/>
      <c r="B310" s="5" t="n"/>
      <c r="C310" s="5" t="n"/>
      <c r="D310" s="5" t="n"/>
      <c r="E310" s="5" t="n"/>
      <c r="F310" s="5" t="n"/>
      <c r="G310" s="5" t="n"/>
    </row>
    <row r="311" ht="15.75" customHeight="1" s="17">
      <c r="A311" s="5" t="n"/>
      <c r="B311" s="5" t="n"/>
      <c r="C311" s="5" t="n"/>
      <c r="D311" s="5" t="n"/>
      <c r="E311" s="5" t="n"/>
      <c r="F311" s="5" t="n"/>
      <c r="G311" s="5" t="n"/>
    </row>
    <row r="312" ht="15.75" customHeight="1" s="17">
      <c r="A312" s="5" t="n"/>
      <c r="B312" s="5" t="n"/>
      <c r="C312" s="5" t="n"/>
      <c r="D312" s="5" t="n"/>
      <c r="E312" s="5" t="n"/>
      <c r="F312" s="5" t="n"/>
      <c r="G312" s="5" t="n"/>
    </row>
    <row r="313" ht="15.75" customHeight="1" s="17">
      <c r="A313" s="5" t="n"/>
      <c r="B313" s="5" t="n"/>
      <c r="C313" s="5" t="n"/>
      <c r="D313" s="5" t="n"/>
      <c r="E313" s="5" t="n"/>
      <c r="F313" s="5" t="n"/>
      <c r="G313" s="5" t="n"/>
    </row>
    <row r="314" ht="15.75" customHeight="1" s="17">
      <c r="A314" s="5" t="n"/>
      <c r="B314" s="5" t="n"/>
      <c r="C314" s="5" t="n"/>
      <c r="D314" s="5" t="n"/>
      <c r="E314" s="5" t="n"/>
      <c r="F314" s="5" t="n"/>
      <c r="G314" s="5" t="n"/>
    </row>
    <row r="315" ht="15.75" customHeight="1" s="17">
      <c r="A315" s="5" t="n"/>
      <c r="B315" s="5" t="n"/>
      <c r="C315" s="5" t="n"/>
      <c r="D315" s="5" t="n"/>
      <c r="E315" s="5" t="n"/>
      <c r="F315" s="5" t="n"/>
      <c r="G315" s="5" t="n"/>
    </row>
    <row r="316" ht="15.75" customHeight="1" s="17">
      <c r="A316" s="5" t="n"/>
      <c r="B316" s="5" t="n"/>
      <c r="C316" s="5" t="n"/>
      <c r="D316" s="5" t="n"/>
      <c r="E316" s="5" t="n"/>
      <c r="F316" s="5" t="n"/>
      <c r="G316" s="5" t="n"/>
    </row>
    <row r="317" ht="15.75" customHeight="1" s="17">
      <c r="A317" s="5" t="n"/>
      <c r="B317" s="5" t="n"/>
      <c r="C317" s="5" t="n"/>
      <c r="D317" s="5" t="n"/>
      <c r="E317" s="5" t="n"/>
      <c r="F317" s="5" t="n"/>
      <c r="G317" s="5" t="n"/>
    </row>
    <row r="318" ht="15.75" customHeight="1" s="17">
      <c r="A318" s="5" t="n"/>
      <c r="B318" s="5" t="n"/>
      <c r="C318" s="5" t="n"/>
      <c r="D318" s="5" t="n"/>
      <c r="E318" s="5" t="n"/>
      <c r="F318" s="5" t="n"/>
      <c r="G318" s="5" t="n"/>
    </row>
    <row r="319" ht="15.75" customHeight="1" s="17">
      <c r="A319" s="5" t="n"/>
      <c r="B319" s="5" t="n"/>
      <c r="C319" s="5" t="n"/>
      <c r="D319" s="5" t="n"/>
      <c r="E319" s="5" t="n"/>
      <c r="F319" s="5" t="n"/>
      <c r="G319" s="5" t="n"/>
    </row>
    <row r="320" ht="15.75" customHeight="1" s="17">
      <c r="A320" s="5" t="n"/>
      <c r="B320" s="5" t="n"/>
      <c r="C320" s="5" t="n"/>
      <c r="D320" s="5" t="n"/>
      <c r="E320" s="5" t="n"/>
      <c r="F320" s="5" t="n"/>
      <c r="G320" s="5" t="n"/>
    </row>
    <row r="321" ht="15.75" customHeight="1" s="17">
      <c r="A321" s="5" t="n"/>
      <c r="B321" s="5" t="n"/>
      <c r="C321" s="5" t="n"/>
      <c r="D321" s="5" t="n"/>
      <c r="E321" s="5" t="n"/>
      <c r="F321" s="5" t="n"/>
      <c r="G321" s="5" t="n"/>
    </row>
    <row r="322" ht="15.75" customHeight="1" s="17">
      <c r="A322" s="5" t="n"/>
      <c r="B322" s="5" t="n"/>
      <c r="C322" s="5" t="n"/>
      <c r="D322" s="5" t="n"/>
      <c r="E322" s="5" t="n"/>
      <c r="F322" s="5" t="n"/>
      <c r="G322" s="5" t="n"/>
    </row>
    <row r="323" ht="15.75" customHeight="1" s="17">
      <c r="A323" s="5" t="n"/>
      <c r="B323" s="5" t="n"/>
      <c r="C323" s="5" t="n"/>
      <c r="D323" s="5" t="n"/>
      <c r="E323" s="5" t="n"/>
      <c r="F323" s="5" t="n"/>
      <c r="G323" s="5" t="n"/>
    </row>
    <row r="324" ht="15.75" customHeight="1" s="17">
      <c r="A324" s="5" t="n"/>
      <c r="B324" s="5" t="n"/>
      <c r="C324" s="5" t="n"/>
      <c r="D324" s="5" t="n"/>
      <c r="E324" s="5" t="n"/>
      <c r="F324" s="5" t="n"/>
      <c r="G324" s="5" t="n"/>
    </row>
    <row r="325" ht="15.75" customHeight="1" s="17">
      <c r="A325" s="5" t="n"/>
      <c r="B325" s="5" t="n"/>
      <c r="C325" s="5" t="n"/>
      <c r="D325" s="5" t="n"/>
      <c r="E325" s="5" t="n"/>
      <c r="F325" s="5" t="n"/>
      <c r="G325" s="5" t="n"/>
    </row>
    <row r="326" ht="15.75" customHeight="1" s="17">
      <c r="A326" s="5" t="n"/>
      <c r="B326" s="5" t="n"/>
      <c r="C326" s="5" t="n"/>
      <c r="D326" s="5" t="n"/>
      <c r="E326" s="5" t="n"/>
      <c r="F326" s="5" t="n"/>
      <c r="G326" s="5" t="n"/>
    </row>
    <row r="327" ht="15.75" customHeight="1" s="17">
      <c r="A327" s="5" t="n"/>
      <c r="B327" s="5" t="n"/>
      <c r="C327" s="5" t="n"/>
      <c r="D327" s="5" t="n"/>
      <c r="E327" s="5" t="n"/>
      <c r="F327" s="5" t="n"/>
      <c r="G327" s="5" t="n"/>
    </row>
    <row r="328" ht="15.75" customHeight="1" s="17">
      <c r="A328" s="5" t="n"/>
      <c r="B328" s="5" t="n"/>
      <c r="C328" s="5" t="n"/>
      <c r="D328" s="5" t="n"/>
      <c r="E328" s="5" t="n"/>
      <c r="F328" s="5" t="n"/>
      <c r="G328" s="5" t="n"/>
    </row>
    <row r="329" ht="15.75" customHeight="1" s="17">
      <c r="A329" s="5" t="n"/>
      <c r="B329" s="5" t="n"/>
      <c r="C329" s="5" t="n"/>
      <c r="D329" s="5" t="n"/>
      <c r="E329" s="5" t="n"/>
      <c r="F329" s="5" t="n"/>
      <c r="G329" s="5" t="n"/>
    </row>
    <row r="330" ht="15.75" customHeight="1" s="17">
      <c r="A330" s="5" t="n"/>
      <c r="B330" s="5" t="n"/>
      <c r="C330" s="5" t="n"/>
      <c r="D330" s="5" t="n"/>
      <c r="E330" s="5" t="n"/>
      <c r="F330" s="5" t="n"/>
      <c r="G330" s="5" t="n"/>
    </row>
    <row r="331" ht="15.75" customHeight="1" s="17">
      <c r="A331" s="5" t="n"/>
      <c r="B331" s="5" t="n"/>
      <c r="C331" s="5" t="n"/>
      <c r="D331" s="5" t="n"/>
      <c r="E331" s="5" t="n"/>
      <c r="F331" s="5" t="n"/>
      <c r="G331" s="5" t="n"/>
    </row>
    <row r="332" ht="15.75" customHeight="1" s="17">
      <c r="A332" s="5" t="n"/>
      <c r="B332" s="5" t="n"/>
      <c r="C332" s="5" t="n"/>
      <c r="D332" s="5" t="n"/>
      <c r="E332" s="5" t="n"/>
      <c r="F332" s="5" t="n"/>
      <c r="G332" s="5" t="n"/>
    </row>
    <row r="333" ht="15.75" customHeight="1" s="17">
      <c r="A333" s="5" t="n"/>
      <c r="B333" s="5" t="n"/>
      <c r="C333" s="5" t="n"/>
      <c r="D333" s="5" t="n"/>
      <c r="E333" s="5" t="n"/>
      <c r="F333" s="5" t="n"/>
      <c r="G333" s="5" t="n"/>
    </row>
    <row r="334" ht="15.75" customHeight="1" s="17">
      <c r="A334" s="5" t="n"/>
      <c r="B334" s="5" t="n"/>
      <c r="C334" s="5" t="n"/>
      <c r="D334" s="5" t="n"/>
      <c r="E334" s="5" t="n"/>
      <c r="F334" s="5" t="n"/>
      <c r="G334" s="5" t="n"/>
    </row>
    <row r="335" ht="15.75" customHeight="1" s="17">
      <c r="A335" s="5" t="n"/>
      <c r="B335" s="5" t="n"/>
      <c r="C335" s="5" t="n"/>
      <c r="D335" s="5" t="n"/>
      <c r="E335" s="5" t="n"/>
      <c r="F335" s="5" t="n"/>
      <c r="G335" s="5" t="n"/>
    </row>
    <row r="336" ht="15.75" customHeight="1" s="17">
      <c r="A336" s="5" t="n"/>
      <c r="B336" s="5" t="n"/>
      <c r="C336" s="5" t="n"/>
      <c r="D336" s="5" t="n"/>
      <c r="E336" s="5" t="n"/>
      <c r="F336" s="5" t="n"/>
      <c r="G336" s="5" t="n"/>
    </row>
    <row r="337" ht="15.75" customHeight="1" s="17">
      <c r="A337" s="5" t="n"/>
      <c r="B337" s="5" t="n"/>
      <c r="C337" s="5" t="n"/>
      <c r="D337" s="5" t="n"/>
      <c r="E337" s="5" t="n"/>
      <c r="F337" s="5" t="n"/>
      <c r="G337" s="5" t="n"/>
    </row>
    <row r="338" ht="15.75" customHeight="1" s="17">
      <c r="A338" s="5" t="n"/>
      <c r="B338" s="5" t="n"/>
      <c r="C338" s="5" t="n"/>
      <c r="D338" s="5" t="n"/>
      <c r="E338" s="5" t="n"/>
      <c r="F338" s="5" t="n"/>
      <c r="G338" s="5" t="n"/>
    </row>
    <row r="339" ht="15.75" customHeight="1" s="17">
      <c r="A339" s="5" t="n"/>
      <c r="B339" s="5" t="n"/>
      <c r="C339" s="5" t="n"/>
      <c r="D339" s="5" t="n"/>
      <c r="E339" s="5" t="n"/>
      <c r="F339" s="5" t="n"/>
      <c r="G339" s="5" t="n"/>
    </row>
    <row r="340" ht="15.75" customHeight="1" s="17">
      <c r="A340" s="5" t="n"/>
      <c r="B340" s="5" t="n"/>
      <c r="C340" s="5" t="n"/>
      <c r="D340" s="5" t="n"/>
      <c r="E340" s="5" t="n"/>
      <c r="F340" s="5" t="n"/>
      <c r="G340" s="5" t="n"/>
    </row>
    <row r="341" ht="15.75" customHeight="1" s="17">
      <c r="A341" s="5" t="n"/>
      <c r="B341" s="5" t="n"/>
      <c r="C341" s="5" t="n"/>
      <c r="D341" s="5" t="n"/>
      <c r="E341" s="5" t="n"/>
      <c r="F341" s="5" t="n"/>
      <c r="G341" s="5" t="n"/>
    </row>
    <row r="342" ht="15.75" customHeight="1" s="17">
      <c r="A342" s="5" t="n"/>
      <c r="B342" s="5" t="n"/>
      <c r="C342" s="5" t="n"/>
      <c r="D342" s="5" t="n"/>
      <c r="E342" s="5" t="n"/>
      <c r="F342" s="5" t="n"/>
      <c r="G342" s="5" t="n"/>
    </row>
    <row r="343" ht="15.75" customHeight="1" s="17">
      <c r="A343" s="5" t="n"/>
      <c r="B343" s="5" t="n"/>
      <c r="C343" s="5" t="n"/>
      <c r="D343" s="5" t="n"/>
      <c r="E343" s="5" t="n"/>
      <c r="F343" s="5" t="n"/>
      <c r="G343" s="5" t="n"/>
    </row>
    <row r="344" ht="15.75" customHeight="1" s="17">
      <c r="A344" s="5" t="n"/>
      <c r="B344" s="5" t="n"/>
      <c r="C344" s="5" t="n"/>
      <c r="D344" s="5" t="n"/>
      <c r="E344" s="5" t="n"/>
      <c r="F344" s="5" t="n"/>
      <c r="G344" s="5" t="n"/>
    </row>
    <row r="345" ht="15.75" customHeight="1" s="17">
      <c r="A345" s="5" t="n"/>
      <c r="B345" s="5" t="n"/>
      <c r="C345" s="5" t="n"/>
      <c r="D345" s="5" t="n"/>
      <c r="E345" s="5" t="n"/>
      <c r="F345" s="5" t="n"/>
      <c r="G345" s="5" t="n"/>
    </row>
    <row r="346" ht="15.75" customHeight="1" s="17">
      <c r="A346" s="5" t="n"/>
      <c r="B346" s="5" t="n"/>
      <c r="C346" s="5" t="n"/>
      <c r="D346" s="5" t="n"/>
      <c r="E346" s="5" t="n"/>
      <c r="F346" s="5" t="n"/>
      <c r="G346" s="5" t="n"/>
    </row>
    <row r="347" ht="15.75" customHeight="1" s="17">
      <c r="A347" s="5" t="n"/>
      <c r="B347" s="5" t="n"/>
      <c r="C347" s="5" t="n"/>
      <c r="D347" s="5" t="n"/>
      <c r="E347" s="5" t="n"/>
      <c r="F347" s="5" t="n"/>
      <c r="G347" s="5" t="n"/>
    </row>
    <row r="348" ht="15.75" customHeight="1" s="17">
      <c r="A348" s="5" t="n"/>
      <c r="B348" s="5" t="n"/>
      <c r="C348" s="5" t="n"/>
      <c r="D348" s="5" t="n"/>
      <c r="E348" s="5" t="n"/>
      <c r="F348" s="5" t="n"/>
      <c r="G348" s="5" t="n"/>
    </row>
    <row r="349" ht="15.75" customHeight="1" s="17">
      <c r="A349" s="5" t="n"/>
      <c r="B349" s="5" t="n"/>
      <c r="C349" s="5" t="n"/>
      <c r="D349" s="5" t="n"/>
      <c r="E349" s="5" t="n"/>
      <c r="F349" s="5" t="n"/>
      <c r="G349" s="5" t="n"/>
    </row>
    <row r="350" ht="15.75" customHeight="1" s="17">
      <c r="A350" s="5" t="n"/>
      <c r="B350" s="5" t="n"/>
      <c r="C350" s="5" t="n"/>
      <c r="D350" s="5" t="n"/>
      <c r="E350" s="5" t="n"/>
      <c r="F350" s="5" t="n"/>
      <c r="G350" s="5" t="n"/>
    </row>
    <row r="351" ht="15.75" customHeight="1" s="17">
      <c r="A351" s="5" t="n"/>
      <c r="B351" s="5" t="n"/>
      <c r="C351" s="5" t="n"/>
      <c r="D351" s="5" t="n"/>
      <c r="E351" s="5" t="n"/>
      <c r="F351" s="5" t="n"/>
      <c r="G351" s="5" t="n"/>
    </row>
    <row r="352" ht="15.75" customHeight="1" s="17">
      <c r="A352" s="5" t="n"/>
      <c r="B352" s="5" t="n"/>
      <c r="C352" s="5" t="n"/>
      <c r="D352" s="5" t="n"/>
      <c r="E352" s="5" t="n"/>
      <c r="F352" s="5" t="n"/>
      <c r="G352" s="5" t="n"/>
    </row>
    <row r="353" ht="15.75" customHeight="1" s="17">
      <c r="A353" s="5" t="n"/>
      <c r="B353" s="5" t="n"/>
      <c r="C353" s="5" t="n"/>
      <c r="D353" s="5" t="n"/>
      <c r="E353" s="5" t="n"/>
      <c r="F353" s="5" t="n"/>
      <c r="G353" s="5" t="n"/>
    </row>
    <row r="354" ht="15.75" customHeight="1" s="17">
      <c r="A354" s="5" t="n"/>
      <c r="B354" s="5" t="n"/>
      <c r="C354" s="5" t="n"/>
      <c r="D354" s="5" t="n"/>
      <c r="E354" s="5" t="n"/>
      <c r="F354" s="5" t="n"/>
      <c r="G354" s="5" t="n"/>
    </row>
    <row r="355" ht="15.75" customHeight="1" s="17">
      <c r="A355" s="5" t="n"/>
      <c r="B355" s="5" t="n"/>
      <c r="C355" s="5" t="n"/>
      <c r="D355" s="5" t="n"/>
      <c r="E355" s="5" t="n"/>
      <c r="F355" s="5" t="n"/>
      <c r="G355" s="5" t="n"/>
    </row>
    <row r="356" ht="15.75" customHeight="1" s="17">
      <c r="A356" s="5" t="n"/>
      <c r="B356" s="5" t="n"/>
      <c r="C356" s="5" t="n"/>
      <c r="D356" s="5" t="n"/>
      <c r="E356" s="5" t="n"/>
      <c r="F356" s="5" t="n"/>
      <c r="G356" s="5" t="n"/>
    </row>
    <row r="357" ht="15.75" customHeight="1" s="17">
      <c r="A357" s="5" t="n"/>
      <c r="B357" s="5" t="n"/>
      <c r="C357" s="5" t="n"/>
      <c r="D357" s="5" t="n"/>
      <c r="E357" s="5" t="n"/>
      <c r="F357" s="5" t="n"/>
      <c r="G357" s="5" t="n"/>
    </row>
    <row r="358" ht="15.75" customHeight="1" s="17">
      <c r="A358" s="5" t="n"/>
      <c r="B358" s="5" t="n"/>
      <c r="C358" s="5" t="n"/>
      <c r="D358" s="5" t="n"/>
      <c r="E358" s="5" t="n"/>
      <c r="F358" s="5" t="n"/>
      <c r="G358" s="5" t="n"/>
    </row>
    <row r="359" ht="15.75" customHeight="1" s="17">
      <c r="A359" s="5" t="n"/>
      <c r="B359" s="5" t="n"/>
      <c r="C359" s="5" t="n"/>
      <c r="D359" s="5" t="n"/>
      <c r="E359" s="5" t="n"/>
      <c r="F359" s="5" t="n"/>
      <c r="G359" s="5" t="n"/>
    </row>
    <row r="360" ht="15.75" customHeight="1" s="17">
      <c r="A360" s="5" t="n"/>
      <c r="B360" s="5" t="n"/>
      <c r="C360" s="5" t="n"/>
      <c r="D360" s="5" t="n"/>
      <c r="E360" s="5" t="n"/>
      <c r="F360" s="5" t="n"/>
      <c r="G360" s="5" t="n"/>
    </row>
    <row r="361" ht="15.75" customHeight="1" s="17">
      <c r="A361" s="5" t="n"/>
      <c r="B361" s="5" t="n"/>
      <c r="C361" s="5" t="n"/>
      <c r="D361" s="5" t="n"/>
      <c r="E361" s="5" t="n"/>
      <c r="F361" s="5" t="n"/>
      <c r="G361" s="5" t="n"/>
    </row>
    <row r="362" ht="15.75" customHeight="1" s="17">
      <c r="A362" s="5" t="n"/>
      <c r="B362" s="5" t="n"/>
      <c r="C362" s="5" t="n"/>
      <c r="D362" s="5" t="n"/>
      <c r="E362" s="5" t="n"/>
      <c r="F362" s="5" t="n"/>
      <c r="G362" s="5" t="n"/>
    </row>
    <row r="363" ht="15.75" customHeight="1" s="17">
      <c r="A363" s="5" t="n"/>
      <c r="B363" s="5" t="n"/>
      <c r="C363" s="5" t="n"/>
      <c r="D363" s="5" t="n"/>
      <c r="E363" s="5" t="n"/>
      <c r="F363" s="5" t="n"/>
      <c r="G363" s="5" t="n"/>
    </row>
    <row r="364" ht="15.75" customHeight="1" s="17">
      <c r="A364" s="5" t="n"/>
      <c r="B364" s="5" t="n"/>
      <c r="C364" s="5" t="n"/>
      <c r="D364" s="5" t="n"/>
      <c r="E364" s="5" t="n"/>
      <c r="F364" s="5" t="n"/>
      <c r="G364" s="5" t="n"/>
    </row>
    <row r="365" ht="15.75" customHeight="1" s="17">
      <c r="A365" s="5" t="n"/>
      <c r="B365" s="5" t="n"/>
      <c r="C365" s="5" t="n"/>
      <c r="D365" s="5" t="n"/>
      <c r="E365" s="5" t="n"/>
      <c r="F365" s="5" t="n"/>
      <c r="G365" s="5" t="n"/>
    </row>
    <row r="366" ht="15.75" customHeight="1" s="17">
      <c r="A366" s="5" t="n"/>
      <c r="B366" s="5" t="n"/>
      <c r="C366" s="5" t="n"/>
      <c r="D366" s="5" t="n"/>
      <c r="E366" s="5" t="n"/>
      <c r="F366" s="5" t="n"/>
      <c r="G366" s="5" t="n"/>
    </row>
    <row r="367" ht="15.75" customHeight="1" s="17">
      <c r="A367" s="5" t="n"/>
      <c r="B367" s="5" t="n"/>
      <c r="C367" s="5" t="n"/>
      <c r="D367" s="5" t="n"/>
      <c r="E367" s="5" t="n"/>
      <c r="F367" s="5" t="n"/>
      <c r="G367" s="5" t="n"/>
    </row>
    <row r="368" ht="15.75" customHeight="1" s="17">
      <c r="A368" s="5" t="n"/>
      <c r="B368" s="5" t="n"/>
      <c r="C368" s="5" t="n"/>
      <c r="D368" s="5" t="n"/>
      <c r="E368" s="5" t="n"/>
      <c r="F368" s="5" t="n"/>
      <c r="G368" s="5" t="n"/>
    </row>
    <row r="369" ht="15.75" customHeight="1" s="17">
      <c r="A369" s="5" t="n"/>
      <c r="B369" s="5" t="n"/>
      <c r="C369" s="5" t="n"/>
      <c r="D369" s="5" t="n"/>
      <c r="E369" s="5" t="n"/>
      <c r="F369" s="5" t="n"/>
      <c r="G369" s="5" t="n"/>
    </row>
    <row r="370" ht="15.75" customHeight="1" s="17">
      <c r="A370" s="5" t="n"/>
      <c r="B370" s="5" t="n"/>
      <c r="C370" s="5" t="n"/>
      <c r="D370" s="5" t="n"/>
      <c r="E370" s="5" t="n"/>
      <c r="F370" s="5" t="n"/>
      <c r="G370" s="5" t="n"/>
    </row>
    <row r="371" ht="15.75" customHeight="1" s="17">
      <c r="A371" s="5" t="n"/>
      <c r="B371" s="5" t="n"/>
      <c r="C371" s="5" t="n"/>
      <c r="D371" s="5" t="n"/>
      <c r="E371" s="5" t="n"/>
      <c r="F371" s="5" t="n"/>
      <c r="G371" s="5" t="n"/>
    </row>
    <row r="372" ht="15.75" customHeight="1" s="17">
      <c r="A372" s="5" t="n"/>
      <c r="B372" s="5" t="n"/>
      <c r="C372" s="5" t="n"/>
      <c r="D372" s="5" t="n"/>
      <c r="E372" s="5" t="n"/>
      <c r="F372" s="5" t="n"/>
      <c r="G372" s="5" t="n"/>
    </row>
    <row r="373" ht="15.75" customHeight="1" s="17">
      <c r="A373" s="5" t="n"/>
      <c r="B373" s="5" t="n"/>
      <c r="C373" s="5" t="n"/>
      <c r="D373" s="5" t="n"/>
      <c r="E373" s="5" t="n"/>
      <c r="F373" s="5" t="n"/>
      <c r="G373" s="5" t="n"/>
    </row>
    <row r="374" ht="15.75" customHeight="1" s="17">
      <c r="A374" s="5" t="n"/>
      <c r="B374" s="5" t="n"/>
      <c r="C374" s="5" t="n"/>
      <c r="D374" s="5" t="n"/>
      <c r="E374" s="5" t="n"/>
      <c r="F374" s="5" t="n"/>
      <c r="G374" s="5" t="n"/>
    </row>
    <row r="375" ht="15.75" customHeight="1" s="17">
      <c r="A375" s="5" t="n"/>
      <c r="B375" s="5" t="n"/>
      <c r="C375" s="5" t="n"/>
      <c r="D375" s="5" t="n"/>
      <c r="E375" s="5" t="n"/>
      <c r="F375" s="5" t="n"/>
      <c r="G375" s="5" t="n"/>
    </row>
    <row r="376" ht="15.75" customHeight="1" s="17">
      <c r="A376" s="5" t="n"/>
      <c r="B376" s="5" t="n"/>
      <c r="C376" s="5" t="n"/>
      <c r="D376" s="5" t="n"/>
      <c r="E376" s="5" t="n"/>
      <c r="F376" s="5" t="n"/>
      <c r="G376" s="5" t="n"/>
    </row>
    <row r="377" ht="15.75" customHeight="1" s="17">
      <c r="A377" s="5" t="n"/>
      <c r="B377" s="5" t="n"/>
      <c r="C377" s="5" t="n"/>
      <c r="D377" s="5" t="n"/>
      <c r="E377" s="5" t="n"/>
      <c r="F377" s="5" t="n"/>
      <c r="G377" s="5" t="n"/>
    </row>
    <row r="378" ht="15.75" customHeight="1" s="17">
      <c r="A378" s="5" t="n"/>
      <c r="B378" s="5" t="n"/>
      <c r="C378" s="5" t="n"/>
      <c r="D378" s="5" t="n"/>
      <c r="E378" s="5" t="n"/>
      <c r="F378" s="5" t="n"/>
      <c r="G378" s="5" t="n"/>
    </row>
    <row r="379" ht="15.75" customHeight="1" s="17">
      <c r="A379" s="5" t="n"/>
      <c r="B379" s="5" t="n"/>
      <c r="C379" s="5" t="n"/>
      <c r="D379" s="5" t="n"/>
      <c r="E379" s="5" t="n"/>
      <c r="F379" s="5" t="n"/>
      <c r="G379" s="5" t="n"/>
    </row>
    <row r="380" ht="15.75" customHeight="1" s="17">
      <c r="A380" s="5" t="n"/>
      <c r="B380" s="5" t="n"/>
      <c r="C380" s="5" t="n"/>
      <c r="D380" s="5" t="n"/>
      <c r="E380" s="5" t="n"/>
      <c r="F380" s="5" t="n"/>
      <c r="G380" s="5" t="n"/>
    </row>
    <row r="381" ht="15.75" customHeight="1" s="17">
      <c r="A381" s="5" t="n"/>
      <c r="B381" s="5" t="n"/>
      <c r="C381" s="5" t="n"/>
      <c r="D381" s="5" t="n"/>
      <c r="E381" s="5" t="n"/>
      <c r="F381" s="5" t="n"/>
      <c r="G381" s="5" t="n"/>
    </row>
    <row r="382" ht="15.75" customHeight="1" s="17">
      <c r="A382" s="5" t="n"/>
      <c r="B382" s="5" t="n"/>
      <c r="C382" s="5" t="n"/>
      <c r="D382" s="5" t="n"/>
      <c r="E382" s="5" t="n"/>
      <c r="F382" s="5" t="n"/>
      <c r="G382" s="5" t="n"/>
    </row>
    <row r="383" ht="15.75" customHeight="1" s="17">
      <c r="A383" s="5" t="n"/>
      <c r="B383" s="5" t="n"/>
      <c r="C383" s="5" t="n"/>
      <c r="D383" s="5" t="n"/>
      <c r="E383" s="5" t="n"/>
      <c r="F383" s="5" t="n"/>
      <c r="G383" s="5" t="n"/>
    </row>
    <row r="384" ht="15.75" customHeight="1" s="17">
      <c r="A384" s="5" t="n"/>
      <c r="B384" s="5" t="n"/>
      <c r="C384" s="5" t="n"/>
      <c r="D384" s="5" t="n"/>
      <c r="E384" s="5" t="n"/>
      <c r="F384" s="5" t="n"/>
      <c r="G384" s="5" t="n"/>
    </row>
    <row r="385" ht="15.75" customHeight="1" s="17">
      <c r="A385" s="5" t="n"/>
      <c r="B385" s="5" t="n"/>
      <c r="C385" s="5" t="n"/>
      <c r="D385" s="5" t="n"/>
      <c r="E385" s="5" t="n"/>
      <c r="F385" s="5" t="n"/>
      <c r="G385" s="5" t="n"/>
    </row>
    <row r="386" ht="15.75" customHeight="1" s="17">
      <c r="A386" s="5" t="n"/>
      <c r="B386" s="5" t="n"/>
      <c r="C386" s="5" t="n"/>
      <c r="D386" s="5" t="n"/>
      <c r="E386" s="5" t="n"/>
      <c r="F386" s="5" t="n"/>
      <c r="G386" s="5" t="n"/>
    </row>
    <row r="387" ht="15.75" customHeight="1" s="17">
      <c r="A387" s="5" t="n"/>
      <c r="B387" s="5" t="n"/>
      <c r="C387" s="5" t="n"/>
      <c r="D387" s="5" t="n"/>
      <c r="E387" s="5" t="n"/>
      <c r="F387" s="5" t="n"/>
      <c r="G387" s="5" t="n"/>
    </row>
    <row r="388" ht="15.75" customHeight="1" s="17">
      <c r="A388" s="5" t="n"/>
      <c r="B388" s="5" t="n"/>
      <c r="C388" s="5" t="n"/>
      <c r="D388" s="5" t="n"/>
      <c r="E388" s="5" t="n"/>
      <c r="F388" s="5" t="n"/>
      <c r="G388" s="5" t="n"/>
    </row>
    <row r="389" ht="15.75" customHeight="1" s="17">
      <c r="A389" s="5" t="n"/>
      <c r="B389" s="5" t="n"/>
      <c r="C389" s="5" t="n"/>
      <c r="D389" s="5" t="n"/>
      <c r="E389" s="5" t="n"/>
      <c r="F389" s="5" t="n"/>
      <c r="G389" s="5" t="n"/>
    </row>
    <row r="390" ht="15.75" customHeight="1" s="17">
      <c r="A390" s="5" t="n"/>
      <c r="B390" s="5" t="n"/>
      <c r="C390" s="5" t="n"/>
      <c r="D390" s="5" t="n"/>
      <c r="E390" s="5" t="n"/>
      <c r="F390" s="5" t="n"/>
      <c r="G390" s="5" t="n"/>
    </row>
    <row r="391" ht="15.75" customHeight="1" s="17">
      <c r="A391" s="5" t="n"/>
      <c r="B391" s="5" t="n"/>
      <c r="C391" s="5" t="n"/>
      <c r="D391" s="5" t="n"/>
      <c r="E391" s="5" t="n"/>
      <c r="F391" s="5" t="n"/>
      <c r="G391" s="5" t="n"/>
    </row>
    <row r="392" ht="15.75" customHeight="1" s="17">
      <c r="A392" s="5" t="n"/>
      <c r="B392" s="5" t="n"/>
      <c r="C392" s="5" t="n"/>
      <c r="D392" s="5" t="n"/>
      <c r="E392" s="5" t="n"/>
      <c r="F392" s="5" t="n"/>
      <c r="G392" s="5" t="n"/>
    </row>
    <row r="393" ht="15.75" customHeight="1" s="17">
      <c r="A393" s="5" t="n"/>
      <c r="B393" s="5" t="n"/>
      <c r="C393" s="5" t="n"/>
      <c r="D393" s="5" t="n"/>
      <c r="E393" s="5" t="n"/>
      <c r="F393" s="5" t="n"/>
      <c r="G393" s="5" t="n"/>
    </row>
    <row r="394" ht="15.75" customHeight="1" s="17">
      <c r="A394" s="5" t="n"/>
      <c r="B394" s="5" t="n"/>
      <c r="C394" s="5" t="n"/>
      <c r="D394" s="5" t="n"/>
      <c r="E394" s="5" t="n"/>
      <c r="F394" s="5" t="n"/>
      <c r="G394" s="5" t="n"/>
    </row>
    <row r="395" ht="15.75" customHeight="1" s="17">
      <c r="A395" s="5" t="n"/>
      <c r="B395" s="5" t="n"/>
      <c r="C395" s="5" t="n"/>
      <c r="D395" s="5" t="n"/>
      <c r="E395" s="5" t="n"/>
      <c r="F395" s="5" t="n"/>
      <c r="G395" s="5" t="n"/>
    </row>
    <row r="396" ht="15.75" customHeight="1" s="17">
      <c r="A396" s="5" t="n"/>
      <c r="B396" s="5" t="n"/>
      <c r="C396" s="5" t="n"/>
      <c r="D396" s="5" t="n"/>
      <c r="E396" s="5" t="n"/>
      <c r="F396" s="5" t="n"/>
      <c r="G396" s="5" t="n"/>
    </row>
    <row r="397" ht="15.75" customHeight="1" s="17">
      <c r="A397" s="5" t="n"/>
      <c r="B397" s="5" t="n"/>
      <c r="C397" s="5" t="n"/>
      <c r="D397" s="5" t="n"/>
      <c r="E397" s="5" t="n"/>
      <c r="F397" s="5" t="n"/>
      <c r="G397" s="5" t="n"/>
    </row>
    <row r="398" ht="15.75" customHeight="1" s="17">
      <c r="A398" s="5" t="n"/>
      <c r="B398" s="5" t="n"/>
      <c r="C398" s="5" t="n"/>
      <c r="D398" s="5" t="n"/>
      <c r="E398" s="5" t="n"/>
      <c r="F398" s="5" t="n"/>
      <c r="G398" s="5" t="n"/>
    </row>
    <row r="399" ht="15.75" customHeight="1" s="17">
      <c r="A399" s="5" t="n"/>
      <c r="B399" s="5" t="n"/>
      <c r="C399" s="5" t="n"/>
      <c r="D399" s="5" t="n"/>
      <c r="E399" s="5" t="n"/>
      <c r="F399" s="5" t="n"/>
      <c r="G399" s="5" t="n"/>
    </row>
    <row r="400" ht="15.75" customHeight="1" s="17">
      <c r="A400" s="5" t="n"/>
      <c r="B400" s="5" t="n"/>
      <c r="C400" s="5" t="n"/>
      <c r="D400" s="5" t="n"/>
      <c r="E400" s="5" t="n"/>
      <c r="F400" s="5" t="n"/>
      <c r="G400" s="5" t="n"/>
    </row>
    <row r="401" ht="15.75" customHeight="1" s="17">
      <c r="A401" s="5" t="n"/>
      <c r="B401" s="5" t="n"/>
      <c r="C401" s="5" t="n"/>
      <c r="D401" s="5" t="n"/>
      <c r="E401" s="5" t="n"/>
      <c r="F401" s="5" t="n"/>
      <c r="G401" s="5" t="n"/>
    </row>
    <row r="402" ht="15.75" customHeight="1" s="17">
      <c r="A402" s="5" t="n"/>
      <c r="B402" s="5" t="n"/>
      <c r="C402" s="5" t="n"/>
      <c r="D402" s="5" t="n"/>
      <c r="E402" s="5" t="n"/>
      <c r="F402" s="5" t="n"/>
      <c r="G402" s="5" t="n"/>
    </row>
    <row r="403" ht="15.75" customHeight="1" s="17">
      <c r="A403" s="5" t="n"/>
      <c r="B403" s="5" t="n"/>
      <c r="C403" s="5" t="n"/>
      <c r="D403" s="5" t="n"/>
      <c r="E403" s="5" t="n"/>
      <c r="F403" s="5" t="n"/>
      <c r="G403" s="5" t="n"/>
    </row>
    <row r="404" ht="15.75" customHeight="1" s="17">
      <c r="A404" s="5" t="n"/>
      <c r="B404" s="5" t="n"/>
      <c r="C404" s="5" t="n"/>
      <c r="D404" s="5" t="n"/>
      <c r="E404" s="5" t="n"/>
      <c r="F404" s="5" t="n"/>
      <c r="G404" s="5" t="n"/>
    </row>
    <row r="405" ht="15.75" customHeight="1" s="17">
      <c r="A405" s="5" t="n"/>
      <c r="B405" s="5" t="n"/>
      <c r="C405" s="5" t="n"/>
      <c r="D405" s="5" t="n"/>
      <c r="E405" s="5" t="n"/>
      <c r="F405" s="5" t="n"/>
      <c r="G405" s="5" t="n"/>
    </row>
    <row r="406" ht="15.75" customHeight="1" s="17">
      <c r="A406" s="5" t="n"/>
      <c r="B406" s="5" t="n"/>
      <c r="C406" s="5" t="n"/>
      <c r="D406" s="5" t="n"/>
      <c r="E406" s="5" t="n"/>
      <c r="F406" s="5" t="n"/>
      <c r="G406" s="5" t="n"/>
    </row>
    <row r="407" ht="15.75" customHeight="1" s="17">
      <c r="A407" s="5" t="n"/>
      <c r="B407" s="5" t="n"/>
      <c r="C407" s="5" t="n"/>
      <c r="D407" s="5" t="n"/>
      <c r="E407" s="5" t="n"/>
      <c r="F407" s="5" t="n"/>
      <c r="G407" s="5" t="n"/>
    </row>
    <row r="408" ht="15.75" customHeight="1" s="17">
      <c r="A408" s="5" t="n"/>
      <c r="B408" s="5" t="n"/>
      <c r="C408" s="5" t="n"/>
      <c r="D408" s="5" t="n"/>
      <c r="E408" s="5" t="n"/>
      <c r="F408" s="5" t="n"/>
      <c r="G408" s="5" t="n"/>
    </row>
    <row r="409" ht="15.75" customHeight="1" s="17">
      <c r="A409" s="5" t="n"/>
      <c r="B409" s="5" t="n"/>
      <c r="C409" s="5" t="n"/>
      <c r="D409" s="5" t="n"/>
      <c r="E409" s="5" t="n"/>
      <c r="F409" s="5" t="n"/>
      <c r="G409" s="5" t="n"/>
    </row>
    <row r="410" ht="15.75" customHeight="1" s="17">
      <c r="A410" s="5" t="n"/>
      <c r="B410" s="5" t="n"/>
      <c r="C410" s="5" t="n"/>
      <c r="D410" s="5" t="n"/>
      <c r="E410" s="5" t="n"/>
      <c r="F410" s="5" t="n"/>
      <c r="G410" s="5" t="n"/>
    </row>
    <row r="411" ht="15.75" customHeight="1" s="17">
      <c r="A411" s="5" t="n"/>
      <c r="B411" s="5" t="n"/>
      <c r="C411" s="5" t="n"/>
      <c r="D411" s="5" t="n"/>
      <c r="E411" s="5" t="n"/>
      <c r="F411" s="5" t="n"/>
      <c r="G411" s="5" t="n"/>
    </row>
    <row r="412" ht="15.75" customHeight="1" s="17">
      <c r="A412" s="5" t="n"/>
      <c r="B412" s="5" t="n"/>
      <c r="C412" s="5" t="n"/>
      <c r="D412" s="5" t="n"/>
      <c r="E412" s="5" t="n"/>
      <c r="F412" s="5" t="n"/>
      <c r="G412" s="5" t="n"/>
    </row>
    <row r="413" ht="15.75" customHeight="1" s="17">
      <c r="A413" s="5" t="n"/>
      <c r="B413" s="5" t="n"/>
      <c r="C413" s="5" t="n"/>
      <c r="D413" s="5" t="n"/>
      <c r="E413" s="5" t="n"/>
      <c r="F413" s="5" t="n"/>
      <c r="G413" s="5" t="n"/>
    </row>
    <row r="414" ht="15.75" customHeight="1" s="17">
      <c r="A414" s="5" t="n"/>
      <c r="B414" s="5" t="n"/>
      <c r="C414" s="5" t="n"/>
      <c r="D414" s="5" t="n"/>
      <c r="E414" s="5" t="n"/>
      <c r="F414" s="5" t="n"/>
      <c r="G414" s="5" t="n"/>
    </row>
    <row r="415" ht="15.75" customHeight="1" s="17">
      <c r="A415" s="5" t="n"/>
      <c r="B415" s="5" t="n"/>
      <c r="C415" s="5" t="n"/>
      <c r="D415" s="5" t="n"/>
      <c r="E415" s="5" t="n"/>
      <c r="F415" s="5" t="n"/>
      <c r="G415" s="5" t="n"/>
    </row>
    <row r="416" ht="15.75" customHeight="1" s="17">
      <c r="A416" s="5" t="n"/>
      <c r="B416" s="5" t="n"/>
      <c r="C416" s="5" t="n"/>
      <c r="D416" s="5" t="n"/>
      <c r="E416" s="5" t="n"/>
      <c r="F416" s="5" t="n"/>
      <c r="G416" s="5" t="n"/>
    </row>
    <row r="417" ht="15.75" customHeight="1" s="17">
      <c r="A417" s="5" t="n"/>
      <c r="B417" s="5" t="n"/>
      <c r="C417" s="5" t="n"/>
      <c r="D417" s="5" t="n"/>
      <c r="E417" s="5" t="n"/>
      <c r="F417" s="5" t="n"/>
      <c r="G417" s="5" t="n"/>
    </row>
    <row r="418" ht="15.75" customHeight="1" s="17">
      <c r="A418" s="5" t="n"/>
      <c r="B418" s="5" t="n"/>
      <c r="C418" s="5" t="n"/>
      <c r="D418" s="5" t="n"/>
      <c r="E418" s="5" t="n"/>
      <c r="F418" s="5" t="n"/>
      <c r="G418" s="5" t="n"/>
    </row>
    <row r="419" ht="15.75" customHeight="1" s="17">
      <c r="A419" s="5" t="n"/>
      <c r="B419" s="5" t="n"/>
      <c r="C419" s="5" t="n"/>
      <c r="D419" s="5" t="n"/>
      <c r="E419" s="5" t="n"/>
      <c r="F419" s="5" t="n"/>
      <c r="G419" s="5" t="n"/>
    </row>
    <row r="420" ht="15.75" customHeight="1" s="17">
      <c r="A420" s="5" t="n"/>
      <c r="B420" s="5" t="n"/>
      <c r="C420" s="5" t="n"/>
      <c r="D420" s="5" t="n"/>
      <c r="E420" s="5" t="n"/>
      <c r="F420" s="5" t="n"/>
      <c r="G420" s="5" t="n"/>
    </row>
    <row r="421" ht="15.75" customHeight="1" s="17">
      <c r="A421" s="5" t="n"/>
      <c r="B421" s="5" t="n"/>
      <c r="C421" s="5" t="n"/>
      <c r="D421" s="5" t="n"/>
      <c r="E421" s="5" t="n"/>
      <c r="F421" s="5" t="n"/>
      <c r="G421" s="5" t="n"/>
    </row>
    <row r="422" ht="15.75" customHeight="1" s="17">
      <c r="A422" s="5" t="n"/>
      <c r="B422" s="5" t="n"/>
      <c r="C422" s="5" t="n"/>
      <c r="D422" s="5" t="n"/>
      <c r="E422" s="5" t="n"/>
      <c r="F422" s="5" t="n"/>
      <c r="G422" s="5" t="n"/>
    </row>
    <row r="423" ht="15.75" customHeight="1" s="17">
      <c r="A423" s="5" t="n"/>
      <c r="B423" s="5" t="n"/>
      <c r="C423" s="5" t="n"/>
      <c r="D423" s="5" t="n"/>
      <c r="E423" s="5" t="n"/>
      <c r="F423" s="5" t="n"/>
      <c r="G423" s="5" t="n"/>
    </row>
    <row r="424" ht="15.75" customHeight="1" s="17">
      <c r="A424" s="5" t="n"/>
      <c r="B424" s="5" t="n"/>
      <c r="C424" s="5" t="n"/>
      <c r="D424" s="5" t="n"/>
      <c r="E424" s="5" t="n"/>
      <c r="F424" s="5" t="n"/>
      <c r="G424" s="5" t="n"/>
    </row>
    <row r="425" ht="15.75" customHeight="1" s="17">
      <c r="A425" s="5" t="n"/>
      <c r="B425" s="5" t="n"/>
      <c r="C425" s="5" t="n"/>
      <c r="D425" s="5" t="n"/>
      <c r="E425" s="5" t="n"/>
      <c r="F425" s="5" t="n"/>
      <c r="G425" s="5" t="n"/>
    </row>
    <row r="426" ht="15.75" customHeight="1" s="17">
      <c r="A426" s="5" t="n"/>
      <c r="B426" s="5" t="n"/>
      <c r="C426" s="5" t="n"/>
      <c r="D426" s="5" t="n"/>
      <c r="E426" s="5" t="n"/>
      <c r="F426" s="5" t="n"/>
      <c r="G426" s="5" t="n"/>
    </row>
    <row r="427" ht="15.75" customHeight="1" s="17">
      <c r="A427" s="5" t="n"/>
      <c r="B427" s="5" t="n"/>
      <c r="C427" s="5" t="n"/>
      <c r="D427" s="5" t="n"/>
      <c r="E427" s="5" t="n"/>
      <c r="F427" s="5" t="n"/>
      <c r="G427" s="5" t="n"/>
    </row>
    <row r="428" ht="15.75" customHeight="1" s="17">
      <c r="A428" s="5" t="n"/>
      <c r="B428" s="5" t="n"/>
      <c r="C428" s="5" t="n"/>
      <c r="D428" s="5" t="n"/>
      <c r="E428" s="5" t="n"/>
      <c r="F428" s="5" t="n"/>
      <c r="G428" s="5" t="n"/>
    </row>
    <row r="429" ht="15.75" customHeight="1" s="17">
      <c r="A429" s="5" t="n"/>
      <c r="B429" s="5" t="n"/>
      <c r="C429" s="5" t="n"/>
      <c r="D429" s="5" t="n"/>
      <c r="E429" s="5" t="n"/>
      <c r="F429" s="5" t="n"/>
      <c r="G429" s="5" t="n"/>
    </row>
    <row r="430" ht="15.75" customHeight="1" s="17">
      <c r="A430" s="5" t="n"/>
      <c r="B430" s="5" t="n"/>
      <c r="C430" s="5" t="n"/>
      <c r="D430" s="5" t="n"/>
      <c r="E430" s="5" t="n"/>
      <c r="F430" s="5" t="n"/>
      <c r="G430" s="5" t="n"/>
    </row>
    <row r="431" ht="15.75" customHeight="1" s="17">
      <c r="A431" s="5" t="n"/>
      <c r="B431" s="5" t="n"/>
      <c r="C431" s="5" t="n"/>
      <c r="D431" s="5" t="n"/>
      <c r="E431" s="5" t="n"/>
      <c r="F431" s="5" t="n"/>
      <c r="G431" s="5" t="n"/>
    </row>
    <row r="432" ht="15.75" customHeight="1" s="17">
      <c r="A432" s="5" t="n"/>
      <c r="B432" s="5" t="n"/>
      <c r="C432" s="5" t="n"/>
      <c r="D432" s="5" t="n"/>
      <c r="E432" s="5" t="n"/>
      <c r="F432" s="5" t="n"/>
      <c r="G432" s="5" t="n"/>
    </row>
    <row r="433" ht="15.75" customHeight="1" s="17">
      <c r="A433" s="5" t="n"/>
      <c r="B433" s="5" t="n"/>
      <c r="C433" s="5" t="n"/>
      <c r="D433" s="5" t="n"/>
      <c r="E433" s="5" t="n"/>
      <c r="F433" s="5" t="n"/>
      <c r="G433" s="5" t="n"/>
    </row>
    <row r="434" ht="15.75" customHeight="1" s="17">
      <c r="A434" s="5" t="n"/>
      <c r="B434" s="5" t="n"/>
      <c r="C434" s="5" t="n"/>
      <c r="D434" s="5" t="n"/>
      <c r="E434" s="5" t="n"/>
      <c r="F434" s="5" t="n"/>
      <c r="G434" s="5" t="n"/>
    </row>
    <row r="435" ht="15.75" customHeight="1" s="17">
      <c r="A435" s="5" t="n"/>
      <c r="B435" s="5" t="n"/>
      <c r="C435" s="5" t="n"/>
      <c r="D435" s="5" t="n"/>
      <c r="E435" s="5" t="n"/>
      <c r="F435" s="5" t="n"/>
      <c r="G435" s="5" t="n"/>
    </row>
    <row r="436" ht="15.75" customHeight="1" s="17">
      <c r="A436" s="5" t="n"/>
      <c r="B436" s="5" t="n"/>
      <c r="C436" s="5" t="n"/>
      <c r="D436" s="5" t="n"/>
      <c r="E436" s="5" t="n"/>
      <c r="F436" s="5" t="n"/>
      <c r="G436" s="5" t="n"/>
    </row>
    <row r="437" ht="15.75" customHeight="1" s="17">
      <c r="A437" s="5" t="n"/>
      <c r="B437" s="5" t="n"/>
      <c r="C437" s="5" t="n"/>
      <c r="D437" s="5" t="n"/>
      <c r="E437" s="5" t="n"/>
      <c r="F437" s="5" t="n"/>
      <c r="G437" s="5" t="n"/>
    </row>
    <row r="438" ht="15.75" customHeight="1" s="17">
      <c r="A438" s="5" t="n"/>
      <c r="B438" s="5" t="n"/>
      <c r="C438" s="5" t="n"/>
      <c r="D438" s="5" t="n"/>
      <c r="E438" s="5" t="n"/>
      <c r="F438" s="5" t="n"/>
      <c r="G438" s="5" t="n"/>
    </row>
    <row r="439" ht="15.75" customHeight="1" s="17">
      <c r="A439" s="5" t="n"/>
      <c r="B439" s="5" t="n"/>
      <c r="C439" s="5" t="n"/>
      <c r="D439" s="5" t="n"/>
      <c r="E439" s="5" t="n"/>
      <c r="F439" s="5" t="n"/>
      <c r="G439" s="5" t="n"/>
    </row>
    <row r="440" ht="15.75" customHeight="1" s="17">
      <c r="A440" s="5" t="n"/>
      <c r="B440" s="5" t="n"/>
      <c r="C440" s="5" t="n"/>
      <c r="D440" s="5" t="n"/>
      <c r="E440" s="5" t="n"/>
      <c r="F440" s="5" t="n"/>
      <c r="G440" s="5" t="n"/>
    </row>
    <row r="441" ht="15.75" customHeight="1" s="17">
      <c r="A441" s="5" t="n"/>
      <c r="B441" s="5" t="n"/>
      <c r="C441" s="5" t="n"/>
      <c r="D441" s="5" t="n"/>
      <c r="E441" s="5" t="n"/>
      <c r="F441" s="5" t="n"/>
      <c r="G441" s="5" t="n"/>
    </row>
    <row r="442" ht="15.75" customHeight="1" s="17">
      <c r="A442" s="5" t="n"/>
      <c r="B442" s="5" t="n"/>
      <c r="C442" s="5" t="n"/>
      <c r="D442" s="5" t="n"/>
      <c r="E442" s="5" t="n"/>
      <c r="F442" s="5" t="n"/>
      <c r="G442" s="5" t="n"/>
    </row>
    <row r="443" ht="15.75" customHeight="1" s="17">
      <c r="A443" s="5" t="n"/>
      <c r="B443" s="5" t="n"/>
      <c r="C443" s="5" t="n"/>
      <c r="D443" s="5" t="n"/>
      <c r="E443" s="5" t="n"/>
      <c r="F443" s="5" t="n"/>
      <c r="G443" s="5" t="n"/>
    </row>
    <row r="444" ht="15.75" customHeight="1" s="17">
      <c r="A444" s="5" t="n"/>
      <c r="B444" s="5" t="n"/>
      <c r="C444" s="5" t="n"/>
      <c r="D444" s="5" t="n"/>
      <c r="E444" s="5" t="n"/>
      <c r="F444" s="5" t="n"/>
      <c r="G444" s="5" t="n"/>
    </row>
    <row r="445" ht="15.75" customHeight="1" s="17">
      <c r="A445" s="5" t="n"/>
      <c r="B445" s="5" t="n"/>
      <c r="C445" s="5" t="n"/>
      <c r="D445" s="5" t="n"/>
      <c r="E445" s="5" t="n"/>
      <c r="F445" s="5" t="n"/>
      <c r="G445" s="5" t="n"/>
    </row>
    <row r="446" ht="15.75" customHeight="1" s="17">
      <c r="A446" s="5" t="n"/>
      <c r="B446" s="5" t="n"/>
      <c r="C446" s="5" t="n"/>
      <c r="D446" s="5" t="n"/>
      <c r="E446" s="5" t="n"/>
      <c r="F446" s="5" t="n"/>
      <c r="G446" s="5" t="n"/>
    </row>
    <row r="447" ht="15.75" customHeight="1" s="17">
      <c r="A447" s="5" t="n"/>
      <c r="B447" s="5" t="n"/>
      <c r="C447" s="5" t="n"/>
      <c r="D447" s="5" t="n"/>
      <c r="E447" s="5" t="n"/>
      <c r="F447" s="5" t="n"/>
      <c r="G447" s="5" t="n"/>
    </row>
    <row r="448" ht="15.75" customHeight="1" s="17">
      <c r="A448" s="5" t="n"/>
      <c r="B448" s="5" t="n"/>
      <c r="C448" s="5" t="n"/>
      <c r="D448" s="5" t="n"/>
      <c r="E448" s="5" t="n"/>
      <c r="F448" s="5" t="n"/>
      <c r="G448" s="5" t="n"/>
    </row>
    <row r="449" ht="15.75" customHeight="1" s="17">
      <c r="A449" s="5" t="n"/>
      <c r="B449" s="5" t="n"/>
      <c r="C449" s="5" t="n"/>
      <c r="D449" s="5" t="n"/>
      <c r="E449" s="5" t="n"/>
      <c r="F449" s="5" t="n"/>
      <c r="G449" s="5" t="n"/>
    </row>
    <row r="450" ht="15.75" customHeight="1" s="17">
      <c r="A450" s="5" t="n"/>
      <c r="B450" s="5" t="n"/>
      <c r="C450" s="5" t="n"/>
      <c r="D450" s="5" t="n"/>
      <c r="E450" s="5" t="n"/>
      <c r="F450" s="5" t="n"/>
      <c r="G450" s="5" t="n"/>
    </row>
    <row r="451" ht="15.75" customHeight="1" s="17">
      <c r="A451" s="5" t="n"/>
      <c r="B451" s="5" t="n"/>
      <c r="C451" s="5" t="n"/>
      <c r="D451" s="5" t="n"/>
      <c r="E451" s="5" t="n"/>
      <c r="F451" s="5" t="n"/>
      <c r="G451" s="5" t="n"/>
    </row>
    <row r="452" ht="15.75" customHeight="1" s="17">
      <c r="A452" s="5" t="n"/>
      <c r="B452" s="5" t="n"/>
      <c r="C452" s="5" t="n"/>
      <c r="D452" s="5" t="n"/>
      <c r="E452" s="5" t="n"/>
      <c r="F452" s="5" t="n"/>
      <c r="G452" s="5" t="n"/>
    </row>
    <row r="453" ht="15.75" customHeight="1" s="17">
      <c r="A453" s="5" t="n"/>
      <c r="B453" s="5" t="n"/>
      <c r="C453" s="5" t="n"/>
      <c r="D453" s="5" t="n"/>
      <c r="E453" s="5" t="n"/>
      <c r="F453" s="5" t="n"/>
      <c r="G453" s="5" t="n"/>
    </row>
    <row r="454" ht="15.75" customHeight="1" s="17">
      <c r="A454" s="5" t="n"/>
      <c r="B454" s="5" t="n"/>
      <c r="C454" s="5" t="n"/>
      <c r="D454" s="5" t="n"/>
      <c r="E454" s="5" t="n"/>
      <c r="F454" s="5" t="n"/>
      <c r="G454" s="5" t="n"/>
    </row>
    <row r="455" ht="15.75" customHeight="1" s="17">
      <c r="A455" s="5" t="n"/>
      <c r="B455" s="5" t="n"/>
      <c r="C455" s="5" t="n"/>
      <c r="D455" s="5" t="n"/>
      <c r="E455" s="5" t="n"/>
      <c r="F455" s="5" t="n"/>
      <c r="G455" s="5" t="n"/>
    </row>
    <row r="456" ht="15.75" customHeight="1" s="17">
      <c r="A456" s="5" t="n"/>
      <c r="B456" s="5" t="n"/>
      <c r="C456" s="5" t="n"/>
      <c r="D456" s="5" t="n"/>
      <c r="E456" s="5" t="n"/>
      <c r="F456" s="5" t="n"/>
      <c r="G456" s="5" t="n"/>
    </row>
    <row r="457" ht="15.75" customHeight="1" s="17">
      <c r="A457" s="5" t="n"/>
      <c r="B457" s="5" t="n"/>
      <c r="C457" s="5" t="n"/>
      <c r="D457" s="5" t="n"/>
      <c r="E457" s="5" t="n"/>
      <c r="F457" s="5" t="n"/>
      <c r="G457" s="5" t="n"/>
    </row>
    <row r="458" ht="15.75" customHeight="1" s="17">
      <c r="A458" s="5" t="n"/>
      <c r="B458" s="5" t="n"/>
      <c r="C458" s="5" t="n"/>
      <c r="D458" s="5" t="n"/>
      <c r="E458" s="5" t="n"/>
      <c r="F458" s="5" t="n"/>
      <c r="G458" s="5" t="n"/>
    </row>
    <row r="459" ht="15.75" customHeight="1" s="17">
      <c r="A459" s="5" t="n"/>
      <c r="B459" s="5" t="n"/>
      <c r="C459" s="5" t="n"/>
      <c r="D459" s="5" t="n"/>
      <c r="E459" s="5" t="n"/>
      <c r="F459" s="5" t="n"/>
      <c r="G459" s="5" t="n"/>
    </row>
    <row r="460" ht="15.75" customHeight="1" s="17">
      <c r="A460" s="5" t="n"/>
      <c r="B460" s="5" t="n"/>
      <c r="C460" s="5" t="n"/>
      <c r="D460" s="5" t="n"/>
      <c r="E460" s="5" t="n"/>
      <c r="F460" s="5" t="n"/>
      <c r="G460" s="5" t="n"/>
    </row>
    <row r="461" ht="15.75" customHeight="1" s="17">
      <c r="A461" s="5" t="n"/>
      <c r="B461" s="5" t="n"/>
      <c r="C461" s="5" t="n"/>
      <c r="D461" s="5" t="n"/>
      <c r="E461" s="5" t="n"/>
      <c r="F461" s="5" t="n"/>
      <c r="G461" s="5" t="n"/>
    </row>
    <row r="462" ht="15.75" customHeight="1" s="17">
      <c r="A462" s="5" t="n"/>
      <c r="B462" s="5" t="n"/>
      <c r="C462" s="5" t="n"/>
      <c r="D462" s="5" t="n"/>
      <c r="E462" s="5" t="n"/>
      <c r="F462" s="5" t="n"/>
      <c r="G462" s="5" t="n"/>
    </row>
    <row r="463" ht="15.75" customHeight="1" s="17">
      <c r="A463" s="5" t="n"/>
      <c r="B463" s="5" t="n"/>
      <c r="C463" s="5" t="n"/>
      <c r="D463" s="5" t="n"/>
      <c r="E463" s="5" t="n"/>
      <c r="F463" s="5" t="n"/>
      <c r="G463" s="5" t="n"/>
    </row>
    <row r="464" ht="15.75" customHeight="1" s="17">
      <c r="A464" s="5" t="n"/>
      <c r="B464" s="5" t="n"/>
      <c r="C464" s="5" t="n"/>
      <c r="D464" s="5" t="n"/>
      <c r="E464" s="5" t="n"/>
      <c r="F464" s="5" t="n"/>
      <c r="G464" s="5" t="n"/>
    </row>
    <row r="465" ht="15.75" customHeight="1" s="17">
      <c r="A465" s="5" t="n"/>
      <c r="B465" s="5" t="n"/>
      <c r="C465" s="5" t="n"/>
      <c r="D465" s="5" t="n"/>
      <c r="E465" s="5" t="n"/>
      <c r="F465" s="5" t="n"/>
      <c r="G465" s="5" t="n"/>
    </row>
    <row r="466" ht="15.75" customHeight="1" s="17">
      <c r="A466" s="5" t="n"/>
      <c r="B466" s="5" t="n"/>
      <c r="C466" s="5" t="n"/>
      <c r="D466" s="5" t="n"/>
      <c r="E466" s="5" t="n"/>
      <c r="F466" s="5" t="n"/>
      <c r="G466" s="5" t="n"/>
    </row>
    <row r="467" ht="15.75" customHeight="1" s="17">
      <c r="A467" s="5" t="n"/>
      <c r="B467" s="5" t="n"/>
      <c r="C467" s="5" t="n"/>
      <c r="D467" s="5" t="n"/>
      <c r="E467" s="5" t="n"/>
      <c r="F467" s="5" t="n"/>
      <c r="G467" s="5" t="n"/>
    </row>
    <row r="468" ht="15.75" customHeight="1" s="17">
      <c r="A468" s="5" t="n"/>
      <c r="B468" s="5" t="n"/>
      <c r="C468" s="5" t="n"/>
      <c r="D468" s="5" t="n"/>
      <c r="E468" s="5" t="n"/>
      <c r="F468" s="5" t="n"/>
      <c r="G468" s="5" t="n"/>
    </row>
    <row r="469" ht="15.75" customHeight="1" s="17">
      <c r="A469" s="5" t="n"/>
      <c r="B469" s="5" t="n"/>
      <c r="C469" s="5" t="n"/>
      <c r="D469" s="5" t="n"/>
      <c r="E469" s="5" t="n"/>
      <c r="F469" s="5" t="n"/>
      <c r="G469" s="5" t="n"/>
    </row>
    <row r="470" ht="15.75" customHeight="1" s="17">
      <c r="A470" s="5" t="n"/>
      <c r="B470" s="5" t="n"/>
      <c r="C470" s="5" t="n"/>
      <c r="D470" s="5" t="n"/>
      <c r="E470" s="5" t="n"/>
      <c r="F470" s="5" t="n"/>
      <c r="G470" s="5" t="n"/>
    </row>
    <row r="471" ht="15.75" customHeight="1" s="17">
      <c r="A471" s="5" t="n"/>
      <c r="B471" s="5" t="n"/>
      <c r="C471" s="5" t="n"/>
      <c r="D471" s="5" t="n"/>
      <c r="E471" s="5" t="n"/>
      <c r="F471" s="5" t="n"/>
      <c r="G471" s="5" t="n"/>
    </row>
    <row r="472" ht="15.75" customHeight="1" s="17">
      <c r="A472" s="5" t="n"/>
      <c r="B472" s="5" t="n"/>
      <c r="C472" s="5" t="n"/>
      <c r="D472" s="5" t="n"/>
      <c r="E472" s="5" t="n"/>
      <c r="F472" s="5" t="n"/>
      <c r="G472" s="5" t="n"/>
    </row>
    <row r="473" ht="15.75" customHeight="1" s="17">
      <c r="A473" s="5" t="n"/>
      <c r="B473" s="5" t="n"/>
      <c r="C473" s="5" t="n"/>
      <c r="D473" s="5" t="n"/>
      <c r="E473" s="5" t="n"/>
      <c r="F473" s="5" t="n"/>
      <c r="G473" s="5" t="n"/>
    </row>
    <row r="474" ht="15.75" customHeight="1" s="17">
      <c r="A474" s="5" t="n"/>
      <c r="B474" s="5" t="n"/>
      <c r="C474" s="5" t="n"/>
      <c r="D474" s="5" t="n"/>
      <c r="E474" s="5" t="n"/>
      <c r="F474" s="5" t="n"/>
      <c r="G474" s="5" t="n"/>
    </row>
    <row r="475" ht="15.75" customHeight="1" s="17">
      <c r="A475" s="5" t="n"/>
      <c r="B475" s="5" t="n"/>
      <c r="C475" s="5" t="n"/>
      <c r="D475" s="5" t="n"/>
      <c r="E475" s="5" t="n"/>
      <c r="F475" s="5" t="n"/>
      <c r="G475" s="5" t="n"/>
    </row>
    <row r="476" ht="15.75" customHeight="1" s="17">
      <c r="A476" s="5" t="n"/>
      <c r="B476" s="5" t="n"/>
      <c r="C476" s="5" t="n"/>
      <c r="D476" s="5" t="n"/>
      <c r="E476" s="5" t="n"/>
      <c r="F476" s="5" t="n"/>
      <c r="G476" s="5" t="n"/>
    </row>
    <row r="477" ht="15.75" customHeight="1" s="17">
      <c r="A477" s="5" t="n"/>
      <c r="B477" s="5" t="n"/>
      <c r="C477" s="5" t="n"/>
      <c r="D477" s="5" t="n"/>
      <c r="E477" s="5" t="n"/>
      <c r="F477" s="5" t="n"/>
      <c r="G477" s="5" t="n"/>
    </row>
    <row r="478" ht="15.75" customHeight="1" s="17">
      <c r="A478" s="5" t="n"/>
      <c r="B478" s="5" t="n"/>
      <c r="C478" s="5" t="n"/>
      <c r="D478" s="5" t="n"/>
      <c r="E478" s="5" t="n"/>
      <c r="F478" s="5" t="n"/>
      <c r="G478" s="5" t="n"/>
    </row>
    <row r="479" ht="15.75" customHeight="1" s="17">
      <c r="A479" s="5" t="n"/>
      <c r="B479" s="5" t="n"/>
      <c r="C479" s="5" t="n"/>
      <c r="D479" s="5" t="n"/>
      <c r="E479" s="5" t="n"/>
      <c r="F479" s="5" t="n"/>
      <c r="G479" s="5" t="n"/>
    </row>
    <row r="480" ht="15.75" customHeight="1" s="17">
      <c r="A480" s="5" t="n"/>
      <c r="B480" s="5" t="n"/>
      <c r="C480" s="5" t="n"/>
      <c r="D480" s="5" t="n"/>
      <c r="E480" s="5" t="n"/>
      <c r="F480" s="5" t="n"/>
      <c r="G480" s="5" t="n"/>
    </row>
    <row r="481" ht="15.75" customHeight="1" s="17">
      <c r="A481" s="5" t="n"/>
      <c r="B481" s="5" t="n"/>
      <c r="C481" s="5" t="n"/>
      <c r="D481" s="5" t="n"/>
      <c r="E481" s="5" t="n"/>
      <c r="F481" s="5" t="n"/>
      <c r="G481" s="5" t="n"/>
    </row>
    <row r="482" ht="15.75" customHeight="1" s="17">
      <c r="A482" s="5" t="n"/>
      <c r="B482" s="5" t="n"/>
      <c r="C482" s="5" t="n"/>
      <c r="D482" s="5" t="n"/>
      <c r="E482" s="5" t="n"/>
      <c r="F482" s="5" t="n"/>
      <c r="G482" s="5" t="n"/>
    </row>
    <row r="483" ht="15.75" customHeight="1" s="17">
      <c r="A483" s="5" t="n"/>
      <c r="B483" s="5" t="n"/>
      <c r="C483" s="5" t="n"/>
      <c r="D483" s="5" t="n"/>
      <c r="E483" s="5" t="n"/>
      <c r="F483" s="5" t="n"/>
      <c r="G483" s="5" t="n"/>
    </row>
    <row r="484" ht="15.75" customHeight="1" s="17">
      <c r="A484" s="5" t="n"/>
      <c r="B484" s="5" t="n"/>
      <c r="C484" s="5" t="n"/>
      <c r="D484" s="5" t="n"/>
      <c r="E484" s="5" t="n"/>
      <c r="F484" s="5" t="n"/>
      <c r="G484" s="5" t="n"/>
    </row>
    <row r="485" ht="15.75" customHeight="1" s="17">
      <c r="A485" s="5" t="n"/>
      <c r="B485" s="5" t="n"/>
      <c r="C485" s="5" t="n"/>
      <c r="D485" s="5" t="n"/>
      <c r="E485" s="5" t="n"/>
      <c r="F485" s="5" t="n"/>
      <c r="G485" s="5" t="n"/>
    </row>
    <row r="486" ht="15.75" customHeight="1" s="17">
      <c r="A486" s="5" t="n"/>
      <c r="B486" s="5" t="n"/>
      <c r="C486" s="5" t="n"/>
      <c r="D486" s="5" t="n"/>
      <c r="E486" s="5" t="n"/>
      <c r="F486" s="5" t="n"/>
      <c r="G486" s="5" t="n"/>
    </row>
    <row r="487" ht="15.75" customHeight="1" s="17">
      <c r="A487" s="5" t="n"/>
      <c r="B487" s="5" t="n"/>
      <c r="C487" s="5" t="n"/>
      <c r="D487" s="5" t="n"/>
      <c r="E487" s="5" t="n"/>
      <c r="F487" s="5" t="n"/>
      <c r="G487" s="5" t="n"/>
    </row>
    <row r="488" ht="15.75" customHeight="1" s="17">
      <c r="A488" s="5" t="n"/>
      <c r="B488" s="5" t="n"/>
      <c r="C488" s="5" t="n"/>
      <c r="D488" s="5" t="n"/>
      <c r="E488" s="5" t="n"/>
      <c r="F488" s="5" t="n"/>
      <c r="G488" s="5" t="n"/>
    </row>
    <row r="489" ht="15.75" customHeight="1" s="17">
      <c r="A489" s="5" t="n"/>
      <c r="B489" s="5" t="n"/>
      <c r="C489" s="5" t="n"/>
      <c r="D489" s="5" t="n"/>
      <c r="E489" s="5" t="n"/>
      <c r="F489" s="5" t="n"/>
      <c r="G489" s="5" t="n"/>
    </row>
    <row r="490" ht="15.75" customHeight="1" s="17">
      <c r="A490" s="5" t="n"/>
      <c r="B490" s="5" t="n"/>
      <c r="C490" s="5" t="n"/>
      <c r="D490" s="5" t="n"/>
      <c r="E490" s="5" t="n"/>
      <c r="F490" s="5" t="n"/>
      <c r="G490" s="5" t="n"/>
    </row>
    <row r="491" ht="15.75" customHeight="1" s="17">
      <c r="A491" s="5" t="n"/>
      <c r="B491" s="5" t="n"/>
      <c r="C491" s="5" t="n"/>
      <c r="D491" s="5" t="n"/>
      <c r="E491" s="5" t="n"/>
      <c r="F491" s="5" t="n"/>
      <c r="G491" s="5" t="n"/>
    </row>
    <row r="492" ht="15.75" customHeight="1" s="17">
      <c r="A492" s="5" t="n"/>
      <c r="B492" s="5" t="n"/>
      <c r="C492" s="5" t="n"/>
      <c r="D492" s="5" t="n"/>
      <c r="E492" s="5" t="n"/>
      <c r="F492" s="5" t="n"/>
      <c r="G492" s="5" t="n"/>
    </row>
    <row r="493" ht="15.75" customHeight="1" s="17">
      <c r="A493" s="5" t="n"/>
      <c r="B493" s="5" t="n"/>
      <c r="C493" s="5" t="n"/>
      <c r="D493" s="5" t="n"/>
      <c r="E493" s="5" t="n"/>
      <c r="F493" s="5" t="n"/>
      <c r="G493" s="5" t="n"/>
    </row>
    <row r="494" ht="15.75" customHeight="1" s="17">
      <c r="A494" s="5" t="n"/>
      <c r="B494" s="5" t="n"/>
      <c r="C494" s="5" t="n"/>
      <c r="D494" s="5" t="n"/>
      <c r="E494" s="5" t="n"/>
      <c r="F494" s="5" t="n"/>
      <c r="G494" s="5" t="n"/>
    </row>
    <row r="495" ht="15.75" customHeight="1" s="17">
      <c r="A495" s="5" t="n"/>
      <c r="B495" s="5" t="n"/>
      <c r="C495" s="5" t="n"/>
      <c r="D495" s="5" t="n"/>
      <c r="E495" s="5" t="n"/>
      <c r="F495" s="5" t="n"/>
      <c r="G495" s="5" t="n"/>
    </row>
    <row r="496" ht="15.75" customHeight="1" s="17">
      <c r="A496" s="5" t="n"/>
      <c r="B496" s="5" t="n"/>
      <c r="C496" s="5" t="n"/>
      <c r="D496" s="5" t="n"/>
      <c r="E496" s="5" t="n"/>
      <c r="F496" s="5" t="n"/>
      <c r="G496" s="5" t="n"/>
    </row>
    <row r="497" ht="15.75" customHeight="1" s="17">
      <c r="A497" s="5" t="n"/>
      <c r="B497" s="5" t="n"/>
      <c r="C497" s="5" t="n"/>
      <c r="D497" s="5" t="n"/>
      <c r="E497" s="5" t="n"/>
      <c r="F497" s="5" t="n"/>
      <c r="G497" s="5" t="n"/>
    </row>
    <row r="498" ht="15.75" customHeight="1" s="17">
      <c r="A498" s="5" t="n"/>
      <c r="B498" s="5" t="n"/>
      <c r="C498" s="5" t="n"/>
      <c r="D498" s="5" t="n"/>
      <c r="E498" s="5" t="n"/>
      <c r="F498" s="5" t="n"/>
      <c r="G498" s="5" t="n"/>
    </row>
    <row r="499" ht="15.75" customHeight="1" s="17">
      <c r="A499" s="5" t="n"/>
      <c r="B499" s="5" t="n"/>
      <c r="C499" s="5" t="n"/>
      <c r="D499" s="5" t="n"/>
      <c r="E499" s="5" t="n"/>
      <c r="F499" s="5" t="n"/>
      <c r="G499" s="5" t="n"/>
    </row>
    <row r="500" ht="15.75" customHeight="1" s="17">
      <c r="A500" s="5" t="n"/>
      <c r="B500" s="5" t="n"/>
      <c r="C500" s="5" t="n"/>
      <c r="D500" s="5" t="n"/>
      <c r="E500" s="5" t="n"/>
      <c r="F500" s="5" t="n"/>
      <c r="G500" s="5" t="n"/>
    </row>
    <row r="501" ht="15.75" customHeight="1" s="17">
      <c r="A501" s="5" t="n"/>
      <c r="B501" s="5" t="n"/>
      <c r="C501" s="5" t="n"/>
      <c r="D501" s="5" t="n"/>
      <c r="E501" s="5" t="n"/>
      <c r="F501" s="5" t="n"/>
      <c r="G501" s="5" t="n"/>
    </row>
    <row r="502" ht="15.75" customHeight="1" s="17">
      <c r="A502" s="5" t="n"/>
      <c r="B502" s="5" t="n"/>
      <c r="C502" s="5" t="n"/>
      <c r="D502" s="5" t="n"/>
      <c r="E502" s="5" t="n"/>
      <c r="F502" s="5" t="n"/>
      <c r="G502" s="5" t="n"/>
    </row>
    <row r="503" ht="15.75" customHeight="1" s="17">
      <c r="A503" s="5" t="n"/>
      <c r="B503" s="5" t="n"/>
      <c r="C503" s="5" t="n"/>
      <c r="D503" s="5" t="n"/>
      <c r="E503" s="5" t="n"/>
      <c r="F503" s="5" t="n"/>
      <c r="G503" s="5" t="n"/>
    </row>
    <row r="504" ht="15.75" customHeight="1" s="17">
      <c r="A504" s="5" t="n"/>
      <c r="B504" s="5" t="n"/>
      <c r="C504" s="5" t="n"/>
      <c r="D504" s="5" t="n"/>
      <c r="E504" s="5" t="n"/>
      <c r="F504" s="5" t="n"/>
      <c r="G504" s="5" t="n"/>
    </row>
    <row r="505" ht="15.75" customHeight="1" s="17">
      <c r="A505" s="5" t="n"/>
      <c r="B505" s="5" t="n"/>
      <c r="C505" s="5" t="n"/>
      <c r="D505" s="5" t="n"/>
      <c r="E505" s="5" t="n"/>
      <c r="F505" s="5" t="n"/>
      <c r="G505" s="5" t="n"/>
    </row>
    <row r="506" ht="15.75" customHeight="1" s="17">
      <c r="A506" s="5" t="n"/>
      <c r="B506" s="5" t="n"/>
      <c r="C506" s="5" t="n"/>
      <c r="D506" s="5" t="n"/>
      <c r="E506" s="5" t="n"/>
      <c r="F506" s="5" t="n"/>
      <c r="G506" s="5" t="n"/>
    </row>
    <row r="507" ht="15.75" customHeight="1" s="17">
      <c r="A507" s="5" t="n"/>
      <c r="B507" s="5" t="n"/>
      <c r="C507" s="5" t="n"/>
      <c r="D507" s="5" t="n"/>
      <c r="E507" s="5" t="n"/>
      <c r="F507" s="5" t="n"/>
      <c r="G507" s="5" t="n"/>
    </row>
    <row r="508" ht="15.75" customHeight="1" s="17">
      <c r="A508" s="5" t="n"/>
      <c r="B508" s="5" t="n"/>
      <c r="C508" s="5" t="n"/>
      <c r="D508" s="5" t="n"/>
      <c r="E508" s="5" t="n"/>
      <c r="F508" s="5" t="n"/>
      <c r="G508" s="5" t="n"/>
    </row>
    <row r="509" ht="15.75" customHeight="1" s="17">
      <c r="A509" s="5" t="n"/>
      <c r="B509" s="5" t="n"/>
      <c r="C509" s="5" t="n"/>
      <c r="D509" s="5" t="n"/>
      <c r="E509" s="5" t="n"/>
      <c r="F509" s="5" t="n"/>
      <c r="G509" s="5" t="n"/>
    </row>
    <row r="510" ht="15.75" customHeight="1" s="17">
      <c r="A510" s="5" t="n"/>
      <c r="B510" s="5" t="n"/>
      <c r="C510" s="5" t="n"/>
      <c r="D510" s="5" t="n"/>
      <c r="E510" s="5" t="n"/>
      <c r="F510" s="5" t="n"/>
      <c r="G510" s="5" t="n"/>
    </row>
    <row r="511" ht="15.75" customHeight="1" s="17">
      <c r="A511" s="5" t="n"/>
      <c r="B511" s="5" t="n"/>
      <c r="C511" s="5" t="n"/>
      <c r="D511" s="5" t="n"/>
      <c r="E511" s="5" t="n"/>
      <c r="F511" s="5" t="n"/>
      <c r="G511" s="5" t="n"/>
    </row>
    <row r="512" ht="15.75" customHeight="1" s="17">
      <c r="A512" s="5" t="n"/>
      <c r="B512" s="5" t="n"/>
      <c r="C512" s="5" t="n"/>
      <c r="D512" s="5" t="n"/>
      <c r="E512" s="5" t="n"/>
      <c r="F512" s="5" t="n"/>
      <c r="G512" s="5" t="n"/>
    </row>
    <row r="513" ht="15.75" customHeight="1" s="17">
      <c r="A513" s="5" t="n"/>
      <c r="B513" s="5" t="n"/>
      <c r="C513" s="5" t="n"/>
      <c r="D513" s="5" t="n"/>
      <c r="E513" s="5" t="n"/>
      <c r="F513" s="5" t="n"/>
      <c r="G513" s="5" t="n"/>
    </row>
    <row r="514" ht="15.75" customHeight="1" s="17">
      <c r="A514" s="5" t="n"/>
      <c r="B514" s="5" t="n"/>
      <c r="C514" s="5" t="n"/>
      <c r="D514" s="5" t="n"/>
      <c r="E514" s="5" t="n"/>
      <c r="F514" s="5" t="n"/>
      <c r="G514" s="5" t="n"/>
    </row>
    <row r="515" ht="15.75" customHeight="1" s="17">
      <c r="A515" s="5" t="n"/>
      <c r="B515" s="5" t="n"/>
      <c r="C515" s="5" t="n"/>
      <c r="D515" s="5" t="n"/>
      <c r="E515" s="5" t="n"/>
      <c r="F515" s="5" t="n"/>
      <c r="G515" s="5" t="n"/>
    </row>
    <row r="516" ht="15.75" customHeight="1" s="17">
      <c r="A516" s="5" t="n"/>
      <c r="B516" s="5" t="n"/>
      <c r="C516" s="5" t="n"/>
      <c r="D516" s="5" t="n"/>
      <c r="E516" s="5" t="n"/>
      <c r="F516" s="5" t="n"/>
      <c r="G516" s="5" t="n"/>
    </row>
    <row r="517" ht="15.75" customHeight="1" s="17">
      <c r="A517" s="5" t="n"/>
      <c r="B517" s="5" t="n"/>
      <c r="C517" s="5" t="n"/>
      <c r="D517" s="5" t="n"/>
      <c r="E517" s="5" t="n"/>
      <c r="F517" s="5" t="n"/>
      <c r="G517" s="5" t="n"/>
    </row>
    <row r="518" ht="15.75" customHeight="1" s="17">
      <c r="A518" s="5" t="n"/>
      <c r="B518" s="5" t="n"/>
      <c r="C518" s="5" t="n"/>
      <c r="D518" s="5" t="n"/>
      <c r="E518" s="5" t="n"/>
      <c r="F518" s="5" t="n"/>
      <c r="G518" s="5" t="n"/>
    </row>
    <row r="519" ht="15.75" customHeight="1" s="17">
      <c r="A519" s="5" t="n"/>
      <c r="B519" s="5" t="n"/>
      <c r="C519" s="5" t="n"/>
      <c r="D519" s="5" t="n"/>
      <c r="E519" s="5" t="n"/>
      <c r="F519" s="5" t="n"/>
      <c r="G519" s="5" t="n"/>
    </row>
    <row r="520" ht="15.75" customHeight="1" s="17">
      <c r="A520" s="5" t="n"/>
      <c r="B520" s="5" t="n"/>
      <c r="C520" s="5" t="n"/>
      <c r="D520" s="5" t="n"/>
      <c r="E520" s="5" t="n"/>
      <c r="F520" s="5" t="n"/>
      <c r="G520" s="5" t="n"/>
    </row>
    <row r="521" ht="15.75" customHeight="1" s="17">
      <c r="A521" s="5" t="n"/>
      <c r="B521" s="5" t="n"/>
      <c r="C521" s="5" t="n"/>
      <c r="D521" s="5" t="n"/>
      <c r="E521" s="5" t="n"/>
      <c r="F521" s="5" t="n"/>
      <c r="G521" s="5" t="n"/>
    </row>
    <row r="522" ht="15.75" customHeight="1" s="17">
      <c r="A522" s="5" t="n"/>
      <c r="B522" s="5" t="n"/>
      <c r="C522" s="5" t="n"/>
      <c r="D522" s="5" t="n"/>
      <c r="E522" s="5" t="n"/>
      <c r="F522" s="5" t="n"/>
      <c r="G522" s="5" t="n"/>
    </row>
    <row r="523" ht="15.75" customHeight="1" s="17">
      <c r="A523" s="5" t="n"/>
      <c r="B523" s="5" t="n"/>
      <c r="C523" s="5" t="n"/>
      <c r="D523" s="5" t="n"/>
      <c r="E523" s="5" t="n"/>
      <c r="F523" s="5" t="n"/>
      <c r="G523" s="5" t="n"/>
    </row>
    <row r="524" ht="15.75" customHeight="1" s="17">
      <c r="A524" s="5" t="n"/>
      <c r="B524" s="5" t="n"/>
      <c r="C524" s="5" t="n"/>
      <c r="D524" s="5" t="n"/>
      <c r="E524" s="5" t="n"/>
      <c r="F524" s="5" t="n"/>
      <c r="G524" s="5" t="n"/>
    </row>
    <row r="525" ht="15.75" customHeight="1" s="17">
      <c r="A525" s="5" t="n"/>
      <c r="B525" s="5" t="n"/>
      <c r="C525" s="5" t="n"/>
      <c r="D525" s="5" t="n"/>
      <c r="E525" s="5" t="n"/>
      <c r="F525" s="5" t="n"/>
      <c r="G525" s="5" t="n"/>
    </row>
    <row r="526" ht="15.75" customHeight="1" s="17">
      <c r="A526" s="5" t="n"/>
      <c r="B526" s="5" t="n"/>
      <c r="C526" s="5" t="n"/>
      <c r="D526" s="5" t="n"/>
      <c r="E526" s="5" t="n"/>
      <c r="F526" s="5" t="n"/>
      <c r="G526" s="5" t="n"/>
    </row>
    <row r="527" ht="15.75" customHeight="1" s="17">
      <c r="A527" s="5" t="n"/>
      <c r="B527" s="5" t="n"/>
      <c r="C527" s="5" t="n"/>
      <c r="D527" s="5" t="n"/>
      <c r="E527" s="5" t="n"/>
      <c r="F527" s="5" t="n"/>
      <c r="G527" s="5" t="n"/>
    </row>
    <row r="528" ht="15.75" customHeight="1" s="17">
      <c r="A528" s="5" t="n"/>
      <c r="B528" s="5" t="n"/>
      <c r="C528" s="5" t="n"/>
      <c r="D528" s="5" t="n"/>
      <c r="E528" s="5" t="n"/>
      <c r="F528" s="5" t="n"/>
      <c r="G528" s="5" t="n"/>
    </row>
    <row r="529" ht="15.75" customHeight="1" s="17">
      <c r="A529" s="5" t="n"/>
      <c r="B529" s="5" t="n"/>
      <c r="C529" s="5" t="n"/>
      <c r="D529" s="5" t="n"/>
      <c r="E529" s="5" t="n"/>
      <c r="F529" s="5" t="n"/>
      <c r="G529" s="5" t="n"/>
    </row>
    <row r="530" ht="15.75" customHeight="1" s="17">
      <c r="A530" s="5" t="n"/>
      <c r="B530" s="5" t="n"/>
      <c r="C530" s="5" t="n"/>
      <c r="D530" s="5" t="n"/>
      <c r="E530" s="5" t="n"/>
      <c r="F530" s="5" t="n"/>
      <c r="G530" s="5" t="n"/>
    </row>
    <row r="531" ht="15.75" customHeight="1" s="17">
      <c r="A531" s="5" t="n"/>
      <c r="B531" s="5" t="n"/>
      <c r="C531" s="5" t="n"/>
      <c r="D531" s="5" t="n"/>
      <c r="E531" s="5" t="n"/>
      <c r="F531" s="5" t="n"/>
      <c r="G531" s="5" t="n"/>
    </row>
    <row r="532" ht="15.75" customHeight="1" s="17">
      <c r="A532" s="5" t="n"/>
      <c r="B532" s="5" t="n"/>
      <c r="C532" s="5" t="n"/>
      <c r="D532" s="5" t="n"/>
      <c r="E532" s="5" t="n"/>
      <c r="F532" s="5" t="n"/>
      <c r="G532" s="5" t="n"/>
    </row>
    <row r="533" ht="15.75" customHeight="1" s="17">
      <c r="A533" s="5" t="n"/>
      <c r="B533" s="5" t="n"/>
      <c r="C533" s="5" t="n"/>
      <c r="D533" s="5" t="n"/>
      <c r="E533" s="5" t="n"/>
      <c r="F533" s="5" t="n"/>
      <c r="G533" s="5" t="n"/>
    </row>
    <row r="534" ht="15.75" customHeight="1" s="17">
      <c r="A534" s="5" t="n"/>
      <c r="B534" s="5" t="n"/>
      <c r="C534" s="5" t="n"/>
      <c r="D534" s="5" t="n"/>
      <c r="E534" s="5" t="n"/>
      <c r="F534" s="5" t="n"/>
      <c r="G534" s="5" t="n"/>
    </row>
    <row r="535" ht="15.75" customHeight="1" s="17">
      <c r="A535" s="5" t="n"/>
      <c r="B535" s="5" t="n"/>
      <c r="C535" s="5" t="n"/>
      <c r="D535" s="5" t="n"/>
      <c r="E535" s="5" t="n"/>
      <c r="F535" s="5" t="n"/>
      <c r="G535" s="5" t="n"/>
    </row>
    <row r="536" ht="15.75" customHeight="1" s="17">
      <c r="A536" s="5" t="n"/>
      <c r="B536" s="5" t="n"/>
      <c r="C536" s="5" t="n"/>
      <c r="D536" s="5" t="n"/>
      <c r="E536" s="5" t="n"/>
      <c r="F536" s="5" t="n"/>
      <c r="G536" s="5" t="n"/>
    </row>
    <row r="537" ht="15.75" customHeight="1" s="17">
      <c r="A537" s="5" t="n"/>
      <c r="B537" s="5" t="n"/>
      <c r="C537" s="5" t="n"/>
      <c r="D537" s="5" t="n"/>
      <c r="E537" s="5" t="n"/>
      <c r="F537" s="5" t="n"/>
      <c r="G537" s="5" t="n"/>
    </row>
    <row r="538" ht="15.75" customHeight="1" s="17">
      <c r="A538" s="5" t="n"/>
      <c r="B538" s="5" t="n"/>
      <c r="C538" s="5" t="n"/>
      <c r="D538" s="5" t="n"/>
      <c r="E538" s="5" t="n"/>
      <c r="F538" s="5" t="n"/>
      <c r="G538" s="5" t="n"/>
    </row>
    <row r="539" ht="15.75" customHeight="1" s="17">
      <c r="A539" s="5" t="n"/>
      <c r="B539" s="5" t="n"/>
      <c r="C539" s="5" t="n"/>
      <c r="D539" s="5" t="n"/>
      <c r="E539" s="5" t="n"/>
      <c r="F539" s="5" t="n"/>
      <c r="G539" s="5" t="n"/>
    </row>
    <row r="540" ht="15.75" customHeight="1" s="17">
      <c r="A540" s="5" t="n"/>
      <c r="B540" s="5" t="n"/>
      <c r="C540" s="5" t="n"/>
      <c r="D540" s="5" t="n"/>
      <c r="E540" s="5" t="n"/>
      <c r="F540" s="5" t="n"/>
      <c r="G540" s="5" t="n"/>
    </row>
    <row r="541" ht="15.75" customHeight="1" s="17">
      <c r="A541" s="5" t="n"/>
      <c r="B541" s="5" t="n"/>
      <c r="C541" s="5" t="n"/>
      <c r="D541" s="5" t="n"/>
      <c r="E541" s="5" t="n"/>
      <c r="F541" s="5" t="n"/>
      <c r="G541" s="5" t="n"/>
    </row>
    <row r="542" ht="15.75" customHeight="1" s="17">
      <c r="A542" s="5" t="n"/>
      <c r="B542" s="5" t="n"/>
      <c r="C542" s="5" t="n"/>
      <c r="D542" s="5" t="n"/>
      <c r="E542" s="5" t="n"/>
      <c r="F542" s="5" t="n"/>
      <c r="G542" s="5" t="n"/>
    </row>
    <row r="543" ht="15.75" customHeight="1" s="17">
      <c r="A543" s="5" t="n"/>
      <c r="B543" s="5" t="n"/>
      <c r="C543" s="5" t="n"/>
      <c r="D543" s="5" t="n"/>
      <c r="E543" s="5" t="n"/>
      <c r="F543" s="5" t="n"/>
      <c r="G543" s="5" t="n"/>
    </row>
    <row r="544" ht="15.75" customHeight="1" s="17">
      <c r="A544" s="5" t="n"/>
      <c r="B544" s="5" t="n"/>
      <c r="C544" s="5" t="n"/>
      <c r="D544" s="5" t="n"/>
      <c r="E544" s="5" t="n"/>
      <c r="F544" s="5" t="n"/>
      <c r="G544" s="5" t="n"/>
    </row>
    <row r="545" ht="15.75" customHeight="1" s="17">
      <c r="A545" s="5" t="n"/>
      <c r="B545" s="5" t="n"/>
      <c r="C545" s="5" t="n"/>
      <c r="D545" s="5" t="n"/>
      <c r="E545" s="5" t="n"/>
      <c r="F545" s="5" t="n"/>
      <c r="G545" s="5" t="n"/>
    </row>
    <row r="546" ht="15.75" customHeight="1" s="17">
      <c r="A546" s="5" t="n"/>
      <c r="B546" s="5" t="n"/>
      <c r="C546" s="5" t="n"/>
      <c r="D546" s="5" t="n"/>
      <c r="E546" s="5" t="n"/>
      <c r="F546" s="5" t="n"/>
      <c r="G546" s="5" t="n"/>
    </row>
    <row r="547" ht="15.75" customHeight="1" s="17">
      <c r="A547" s="5" t="n"/>
      <c r="B547" s="5" t="n"/>
      <c r="C547" s="5" t="n"/>
      <c r="D547" s="5" t="n"/>
      <c r="E547" s="5" t="n"/>
      <c r="F547" s="5" t="n"/>
      <c r="G547" s="5" t="n"/>
    </row>
    <row r="548" ht="15.75" customHeight="1" s="17">
      <c r="A548" s="5" t="n"/>
      <c r="B548" s="5" t="n"/>
      <c r="C548" s="5" t="n"/>
      <c r="D548" s="5" t="n"/>
      <c r="E548" s="5" t="n"/>
      <c r="F548" s="5" t="n"/>
      <c r="G548" s="5" t="n"/>
    </row>
    <row r="549" ht="15.75" customHeight="1" s="17">
      <c r="A549" s="5" t="n"/>
      <c r="B549" s="5" t="n"/>
      <c r="C549" s="5" t="n"/>
      <c r="D549" s="5" t="n"/>
      <c r="E549" s="5" t="n"/>
      <c r="F549" s="5" t="n"/>
      <c r="G549" s="5" t="n"/>
    </row>
    <row r="550" ht="15.75" customHeight="1" s="17">
      <c r="A550" s="5" t="n"/>
      <c r="B550" s="5" t="n"/>
      <c r="C550" s="5" t="n"/>
      <c r="D550" s="5" t="n"/>
      <c r="E550" s="5" t="n"/>
      <c r="F550" s="5" t="n"/>
      <c r="G550" s="5" t="n"/>
    </row>
    <row r="551" ht="15.75" customHeight="1" s="17">
      <c r="A551" s="5" t="n"/>
      <c r="B551" s="5" t="n"/>
      <c r="C551" s="5" t="n"/>
      <c r="D551" s="5" t="n"/>
      <c r="E551" s="5" t="n"/>
      <c r="F551" s="5" t="n"/>
      <c r="G551" s="5" t="n"/>
    </row>
    <row r="552" ht="15.75" customHeight="1" s="17">
      <c r="A552" s="5" t="n"/>
      <c r="B552" s="5" t="n"/>
      <c r="C552" s="5" t="n"/>
      <c r="D552" s="5" t="n"/>
      <c r="E552" s="5" t="n"/>
      <c r="F552" s="5" t="n"/>
      <c r="G552" s="5" t="n"/>
    </row>
    <row r="553" ht="15.75" customHeight="1" s="17">
      <c r="A553" s="5" t="n"/>
      <c r="B553" s="5" t="n"/>
      <c r="C553" s="5" t="n"/>
      <c r="D553" s="5" t="n"/>
      <c r="E553" s="5" t="n"/>
      <c r="F553" s="5" t="n"/>
      <c r="G553" s="5" t="n"/>
    </row>
    <row r="554" ht="15.75" customHeight="1" s="17">
      <c r="A554" s="5" t="n"/>
      <c r="B554" s="5" t="n"/>
      <c r="C554" s="5" t="n"/>
      <c r="D554" s="5" t="n"/>
      <c r="E554" s="5" t="n"/>
      <c r="F554" s="5" t="n"/>
      <c r="G554" s="5" t="n"/>
    </row>
    <row r="555" ht="15.75" customHeight="1" s="17">
      <c r="A555" s="5" t="n"/>
      <c r="B555" s="5" t="n"/>
      <c r="C555" s="5" t="n"/>
      <c r="D555" s="5" t="n"/>
      <c r="E555" s="5" t="n"/>
      <c r="F555" s="5" t="n"/>
      <c r="G555" s="5" t="n"/>
    </row>
    <row r="556" ht="15.75" customHeight="1" s="17">
      <c r="A556" s="5" t="n"/>
      <c r="B556" s="5" t="n"/>
      <c r="C556" s="5" t="n"/>
      <c r="D556" s="5" t="n"/>
      <c r="E556" s="5" t="n"/>
      <c r="F556" s="5" t="n"/>
      <c r="G556" s="5" t="n"/>
    </row>
    <row r="557" ht="15.75" customHeight="1" s="17">
      <c r="A557" s="5" t="n"/>
      <c r="B557" s="5" t="n"/>
      <c r="C557" s="5" t="n"/>
      <c r="D557" s="5" t="n"/>
      <c r="E557" s="5" t="n"/>
      <c r="F557" s="5" t="n"/>
      <c r="G557" s="5" t="n"/>
    </row>
    <row r="558" ht="15.75" customHeight="1" s="17">
      <c r="A558" s="5" t="n"/>
      <c r="B558" s="5" t="n"/>
      <c r="C558" s="5" t="n"/>
      <c r="D558" s="5" t="n"/>
      <c r="E558" s="5" t="n"/>
      <c r="F558" s="5" t="n"/>
      <c r="G558" s="5" t="n"/>
    </row>
    <row r="559" ht="15.75" customHeight="1" s="17">
      <c r="A559" s="5" t="n"/>
      <c r="B559" s="5" t="n"/>
      <c r="C559" s="5" t="n"/>
      <c r="D559" s="5" t="n"/>
      <c r="E559" s="5" t="n"/>
      <c r="F559" s="5" t="n"/>
      <c r="G559" s="5" t="n"/>
    </row>
    <row r="560" ht="15.75" customHeight="1" s="17">
      <c r="A560" s="5" t="n"/>
      <c r="B560" s="5" t="n"/>
      <c r="C560" s="5" t="n"/>
      <c r="D560" s="5" t="n"/>
      <c r="E560" s="5" t="n"/>
      <c r="F560" s="5" t="n"/>
      <c r="G560" s="5" t="n"/>
    </row>
    <row r="561" ht="15.75" customHeight="1" s="17">
      <c r="A561" s="5" t="n"/>
      <c r="B561" s="5" t="n"/>
      <c r="C561" s="5" t="n"/>
      <c r="D561" s="5" t="n"/>
      <c r="E561" s="5" t="n"/>
      <c r="F561" s="5" t="n"/>
      <c r="G561" s="5" t="n"/>
    </row>
    <row r="562" ht="15.75" customHeight="1" s="17">
      <c r="A562" s="5" t="n"/>
      <c r="B562" s="5" t="n"/>
      <c r="C562" s="5" t="n"/>
      <c r="D562" s="5" t="n"/>
      <c r="E562" s="5" t="n"/>
      <c r="F562" s="5" t="n"/>
      <c r="G562" s="5" t="n"/>
    </row>
    <row r="563" ht="15.75" customHeight="1" s="17">
      <c r="A563" s="5" t="n"/>
      <c r="B563" s="5" t="n"/>
      <c r="C563" s="5" t="n"/>
      <c r="D563" s="5" t="n"/>
      <c r="E563" s="5" t="n"/>
      <c r="F563" s="5" t="n"/>
      <c r="G563" s="5" t="n"/>
    </row>
    <row r="564" ht="15.75" customHeight="1" s="17">
      <c r="A564" s="5" t="n"/>
      <c r="B564" s="5" t="n"/>
      <c r="C564" s="5" t="n"/>
      <c r="D564" s="5" t="n"/>
      <c r="E564" s="5" t="n"/>
      <c r="F564" s="5" t="n"/>
      <c r="G564" s="5" t="n"/>
    </row>
    <row r="565" ht="15.75" customHeight="1" s="17">
      <c r="A565" s="5" t="n"/>
      <c r="B565" s="5" t="n"/>
      <c r="C565" s="5" t="n"/>
      <c r="D565" s="5" t="n"/>
      <c r="E565" s="5" t="n"/>
      <c r="F565" s="5" t="n"/>
      <c r="G565" s="5" t="n"/>
    </row>
    <row r="566" ht="15.75" customHeight="1" s="17">
      <c r="A566" s="5" t="n"/>
      <c r="B566" s="5" t="n"/>
      <c r="C566" s="5" t="n"/>
      <c r="D566" s="5" t="n"/>
      <c r="E566" s="5" t="n"/>
      <c r="F566" s="5" t="n"/>
      <c r="G566" s="5" t="n"/>
    </row>
    <row r="567" ht="15.75" customHeight="1" s="17">
      <c r="A567" s="5" t="n"/>
      <c r="B567" s="5" t="n"/>
      <c r="C567" s="5" t="n"/>
      <c r="D567" s="5" t="n"/>
      <c r="E567" s="5" t="n"/>
      <c r="F567" s="5" t="n"/>
      <c r="G567" s="5" t="n"/>
    </row>
    <row r="568" ht="15.75" customHeight="1" s="17">
      <c r="A568" s="5" t="n"/>
      <c r="B568" s="5" t="n"/>
      <c r="C568" s="5" t="n"/>
      <c r="D568" s="5" t="n"/>
      <c r="E568" s="5" t="n"/>
      <c r="F568" s="5" t="n"/>
      <c r="G568" s="5" t="n"/>
    </row>
    <row r="569" ht="15.75" customHeight="1" s="17">
      <c r="A569" s="5" t="n"/>
      <c r="B569" s="5" t="n"/>
      <c r="C569" s="5" t="n"/>
      <c r="D569" s="5" t="n"/>
      <c r="E569" s="5" t="n"/>
      <c r="F569" s="5" t="n"/>
      <c r="G569" s="5" t="n"/>
    </row>
    <row r="570" ht="15.75" customHeight="1" s="17">
      <c r="A570" s="5" t="n"/>
      <c r="B570" s="5" t="n"/>
      <c r="C570" s="5" t="n"/>
      <c r="D570" s="5" t="n"/>
      <c r="E570" s="5" t="n"/>
      <c r="F570" s="5" t="n"/>
      <c r="G570" s="5" t="n"/>
    </row>
    <row r="571" ht="15.75" customHeight="1" s="17">
      <c r="A571" s="5" t="n"/>
      <c r="B571" s="5" t="n"/>
      <c r="C571" s="5" t="n"/>
      <c r="D571" s="5" t="n"/>
      <c r="E571" s="5" t="n"/>
      <c r="F571" s="5" t="n"/>
      <c r="G571" s="5" t="n"/>
    </row>
    <row r="572" ht="15.75" customHeight="1" s="17">
      <c r="A572" s="5" t="n"/>
      <c r="B572" s="5" t="n"/>
      <c r="C572" s="5" t="n"/>
      <c r="D572" s="5" t="n"/>
      <c r="E572" s="5" t="n"/>
      <c r="F572" s="5" t="n"/>
      <c r="G572" s="5" t="n"/>
    </row>
    <row r="573" ht="15.75" customHeight="1" s="17">
      <c r="A573" s="5" t="n"/>
      <c r="B573" s="5" t="n"/>
      <c r="C573" s="5" t="n"/>
      <c r="D573" s="5" t="n"/>
      <c r="E573" s="5" t="n"/>
      <c r="F573" s="5" t="n"/>
      <c r="G573" s="5" t="n"/>
    </row>
    <row r="574" ht="15.75" customHeight="1" s="17">
      <c r="A574" s="5" t="n"/>
      <c r="B574" s="5" t="n"/>
      <c r="C574" s="5" t="n"/>
      <c r="D574" s="5" t="n"/>
      <c r="E574" s="5" t="n"/>
      <c r="F574" s="5" t="n"/>
      <c r="G574" s="5" t="n"/>
    </row>
    <row r="575" ht="15.75" customHeight="1" s="17">
      <c r="A575" s="5" t="n"/>
      <c r="B575" s="5" t="n"/>
      <c r="C575" s="5" t="n"/>
      <c r="D575" s="5" t="n"/>
      <c r="E575" s="5" t="n"/>
      <c r="F575" s="5" t="n"/>
      <c r="G575" s="5" t="n"/>
    </row>
    <row r="576" ht="15.75" customHeight="1" s="17">
      <c r="A576" s="5" t="n"/>
      <c r="B576" s="5" t="n"/>
      <c r="C576" s="5" t="n"/>
      <c r="D576" s="5" t="n"/>
      <c r="E576" s="5" t="n"/>
      <c r="F576" s="5" t="n"/>
      <c r="G576" s="5" t="n"/>
    </row>
    <row r="577" ht="15.75" customHeight="1" s="17">
      <c r="A577" s="5" t="n"/>
      <c r="B577" s="5" t="n"/>
      <c r="C577" s="5" t="n"/>
      <c r="D577" s="5" t="n"/>
      <c r="E577" s="5" t="n"/>
      <c r="F577" s="5" t="n"/>
      <c r="G577" s="5" t="n"/>
    </row>
    <row r="578" ht="15.75" customHeight="1" s="17">
      <c r="A578" s="5" t="n"/>
      <c r="B578" s="5" t="n"/>
      <c r="C578" s="5" t="n"/>
      <c r="D578" s="5" t="n"/>
      <c r="E578" s="5" t="n"/>
      <c r="F578" s="5" t="n"/>
      <c r="G578" s="5" t="n"/>
    </row>
    <row r="579" ht="15.75" customHeight="1" s="17">
      <c r="A579" s="5" t="n"/>
      <c r="B579" s="5" t="n"/>
      <c r="C579" s="5" t="n"/>
      <c r="D579" s="5" t="n"/>
      <c r="E579" s="5" t="n"/>
      <c r="F579" s="5" t="n"/>
      <c r="G579" s="5" t="n"/>
    </row>
    <row r="580" ht="15.75" customHeight="1" s="17">
      <c r="A580" s="5" t="n"/>
      <c r="B580" s="5" t="n"/>
      <c r="C580" s="5" t="n"/>
      <c r="D580" s="5" t="n"/>
      <c r="E580" s="5" t="n"/>
      <c r="F580" s="5" t="n"/>
      <c r="G580" s="5" t="n"/>
    </row>
    <row r="581" ht="15.75" customHeight="1" s="17">
      <c r="A581" s="5" t="n"/>
      <c r="B581" s="5" t="n"/>
      <c r="C581" s="5" t="n"/>
      <c r="D581" s="5" t="n"/>
      <c r="E581" s="5" t="n"/>
      <c r="F581" s="5" t="n"/>
      <c r="G581" s="5" t="n"/>
    </row>
    <row r="582" ht="15.75" customHeight="1" s="17">
      <c r="A582" s="5" t="n"/>
      <c r="B582" s="5" t="n"/>
      <c r="C582" s="5" t="n"/>
      <c r="D582" s="5" t="n"/>
      <c r="E582" s="5" t="n"/>
      <c r="F582" s="5" t="n"/>
      <c r="G582" s="5" t="n"/>
    </row>
    <row r="583" ht="15.75" customHeight="1" s="17">
      <c r="A583" s="5" t="n"/>
      <c r="B583" s="5" t="n"/>
      <c r="C583" s="5" t="n"/>
      <c r="D583" s="5" t="n"/>
      <c r="E583" s="5" t="n"/>
      <c r="F583" s="5" t="n"/>
      <c r="G583" s="5" t="n"/>
    </row>
    <row r="584" ht="15.75" customHeight="1" s="17">
      <c r="A584" s="5" t="n"/>
      <c r="B584" s="5" t="n"/>
      <c r="C584" s="5" t="n"/>
      <c r="D584" s="5" t="n"/>
      <c r="E584" s="5" t="n"/>
      <c r="F584" s="5" t="n"/>
      <c r="G584" s="5" t="n"/>
    </row>
    <row r="585" ht="15.75" customHeight="1" s="17">
      <c r="A585" s="5" t="n"/>
      <c r="B585" s="5" t="n"/>
      <c r="C585" s="5" t="n"/>
      <c r="D585" s="5" t="n"/>
      <c r="E585" s="5" t="n"/>
      <c r="F585" s="5" t="n"/>
      <c r="G585" s="5" t="n"/>
    </row>
    <row r="586" ht="15.75" customHeight="1" s="17">
      <c r="A586" s="5" t="n"/>
      <c r="B586" s="5" t="n"/>
      <c r="C586" s="5" t="n"/>
      <c r="D586" s="5" t="n"/>
      <c r="E586" s="5" t="n"/>
      <c r="F586" s="5" t="n"/>
      <c r="G586" s="5" t="n"/>
    </row>
    <row r="587" ht="15.75" customHeight="1" s="17">
      <c r="A587" s="5" t="n"/>
      <c r="B587" s="5" t="n"/>
      <c r="C587" s="5" t="n"/>
      <c r="D587" s="5" t="n"/>
      <c r="E587" s="5" t="n"/>
      <c r="F587" s="5" t="n"/>
      <c r="G587" s="5" t="n"/>
    </row>
    <row r="588" ht="15.75" customHeight="1" s="17">
      <c r="A588" s="5" t="n"/>
      <c r="B588" s="5" t="n"/>
      <c r="C588" s="5" t="n"/>
      <c r="D588" s="5" t="n"/>
      <c r="E588" s="5" t="n"/>
      <c r="F588" s="5" t="n"/>
      <c r="G588" s="5" t="n"/>
    </row>
    <row r="589" ht="15.75" customHeight="1" s="17">
      <c r="A589" s="5" t="n"/>
      <c r="B589" s="5" t="n"/>
      <c r="C589" s="5" t="n"/>
      <c r="D589" s="5" t="n"/>
      <c r="E589" s="5" t="n"/>
      <c r="F589" s="5" t="n"/>
      <c r="G589" s="5" t="n"/>
    </row>
    <row r="590" ht="15.75" customHeight="1" s="17">
      <c r="A590" s="5" t="n"/>
      <c r="B590" s="5" t="n"/>
      <c r="C590" s="5" t="n"/>
      <c r="D590" s="5" t="n"/>
      <c r="E590" s="5" t="n"/>
      <c r="F590" s="5" t="n"/>
      <c r="G590" s="5" t="n"/>
    </row>
    <row r="591" ht="15.75" customHeight="1" s="17">
      <c r="A591" s="5" t="n"/>
      <c r="B591" s="5" t="n"/>
      <c r="C591" s="5" t="n"/>
      <c r="D591" s="5" t="n"/>
      <c r="E591" s="5" t="n"/>
      <c r="F591" s="5" t="n"/>
      <c r="G591" s="5" t="n"/>
    </row>
    <row r="592" ht="15.75" customHeight="1" s="17">
      <c r="A592" s="5" t="n"/>
      <c r="B592" s="5" t="n"/>
      <c r="C592" s="5" t="n"/>
      <c r="D592" s="5" t="n"/>
      <c r="E592" s="5" t="n"/>
      <c r="F592" s="5" t="n"/>
      <c r="G592" s="5" t="n"/>
    </row>
    <row r="593" ht="15.75" customHeight="1" s="17">
      <c r="A593" s="5" t="n"/>
      <c r="B593" s="5" t="n"/>
      <c r="C593" s="5" t="n"/>
      <c r="D593" s="5" t="n"/>
      <c r="E593" s="5" t="n"/>
      <c r="F593" s="5" t="n"/>
      <c r="G593" s="5" t="n"/>
    </row>
    <row r="594" ht="15.75" customHeight="1" s="17">
      <c r="A594" s="5" t="n"/>
      <c r="B594" s="5" t="n"/>
      <c r="C594" s="5" t="n"/>
      <c r="D594" s="5" t="n"/>
      <c r="E594" s="5" t="n"/>
      <c r="F594" s="5" t="n"/>
      <c r="G594" s="5" t="n"/>
    </row>
    <row r="595" ht="15.75" customHeight="1" s="17">
      <c r="A595" s="5" t="n"/>
      <c r="B595" s="5" t="n"/>
      <c r="C595" s="5" t="n"/>
      <c r="D595" s="5" t="n"/>
      <c r="E595" s="5" t="n"/>
      <c r="F595" s="5" t="n"/>
      <c r="G595" s="5" t="n"/>
    </row>
    <row r="596" ht="15.75" customHeight="1" s="17">
      <c r="A596" s="5" t="n"/>
      <c r="B596" s="5" t="n"/>
      <c r="C596" s="5" t="n"/>
      <c r="D596" s="5" t="n"/>
      <c r="E596" s="5" t="n"/>
      <c r="F596" s="5" t="n"/>
      <c r="G596" s="5" t="n"/>
    </row>
    <row r="597" ht="15.75" customHeight="1" s="17">
      <c r="A597" s="5" t="n"/>
      <c r="B597" s="5" t="n"/>
      <c r="C597" s="5" t="n"/>
      <c r="D597" s="5" t="n"/>
      <c r="E597" s="5" t="n"/>
      <c r="F597" s="5" t="n"/>
      <c r="G597" s="5" t="n"/>
    </row>
    <row r="598" ht="15.75" customHeight="1" s="17">
      <c r="A598" s="5" t="n"/>
      <c r="B598" s="5" t="n"/>
      <c r="C598" s="5" t="n"/>
      <c r="D598" s="5" t="n"/>
      <c r="E598" s="5" t="n"/>
      <c r="F598" s="5" t="n"/>
      <c r="G598" s="5" t="n"/>
    </row>
    <row r="599" ht="15.75" customHeight="1" s="17">
      <c r="A599" s="5" t="n"/>
      <c r="B599" s="5" t="n"/>
      <c r="C599" s="5" t="n"/>
      <c r="D599" s="5" t="n"/>
      <c r="E599" s="5" t="n"/>
      <c r="F599" s="5" t="n"/>
      <c r="G599" s="5" t="n"/>
    </row>
    <row r="600" ht="15.75" customHeight="1" s="17">
      <c r="A600" s="5" t="n"/>
      <c r="B600" s="5" t="n"/>
      <c r="C600" s="5" t="n"/>
      <c r="D600" s="5" t="n"/>
      <c r="E600" s="5" t="n"/>
      <c r="F600" s="5" t="n"/>
      <c r="G600" s="5" t="n"/>
    </row>
    <row r="601" ht="15.75" customHeight="1" s="17">
      <c r="A601" s="5" t="n"/>
      <c r="B601" s="5" t="n"/>
      <c r="C601" s="5" t="n"/>
      <c r="D601" s="5" t="n"/>
      <c r="E601" s="5" t="n"/>
      <c r="F601" s="5" t="n"/>
      <c r="G601" s="5" t="n"/>
    </row>
    <row r="602" ht="15.75" customHeight="1" s="17">
      <c r="A602" s="5" t="n"/>
      <c r="B602" s="5" t="n"/>
      <c r="C602" s="5" t="n"/>
      <c r="D602" s="5" t="n"/>
      <c r="E602" s="5" t="n"/>
      <c r="F602" s="5" t="n"/>
      <c r="G602" s="5" t="n"/>
    </row>
    <row r="603" ht="15.75" customHeight="1" s="17">
      <c r="A603" s="5" t="n"/>
      <c r="B603" s="5" t="n"/>
      <c r="C603" s="5" t="n"/>
      <c r="D603" s="5" t="n"/>
      <c r="E603" s="5" t="n"/>
      <c r="F603" s="5" t="n"/>
      <c r="G603" s="5" t="n"/>
    </row>
    <row r="604" ht="15.75" customHeight="1" s="17">
      <c r="A604" s="5" t="n"/>
      <c r="B604" s="5" t="n"/>
      <c r="C604" s="5" t="n"/>
      <c r="D604" s="5" t="n"/>
      <c r="E604" s="5" t="n"/>
      <c r="F604" s="5" t="n"/>
      <c r="G604" s="5" t="n"/>
    </row>
    <row r="605" ht="15.75" customHeight="1" s="17">
      <c r="A605" s="5" t="n"/>
      <c r="B605" s="5" t="n"/>
      <c r="C605" s="5" t="n"/>
      <c r="D605" s="5" t="n"/>
      <c r="E605" s="5" t="n"/>
      <c r="F605" s="5" t="n"/>
      <c r="G605" s="5" t="n"/>
    </row>
    <row r="606" ht="15.75" customHeight="1" s="17">
      <c r="A606" s="5" t="n"/>
      <c r="B606" s="5" t="n"/>
      <c r="C606" s="5" t="n"/>
      <c r="D606" s="5" t="n"/>
      <c r="E606" s="5" t="n"/>
      <c r="F606" s="5" t="n"/>
      <c r="G606" s="5" t="n"/>
    </row>
    <row r="607" ht="15.75" customHeight="1" s="17">
      <c r="A607" s="5" t="n"/>
      <c r="B607" s="5" t="n"/>
      <c r="C607" s="5" t="n"/>
      <c r="D607" s="5" t="n"/>
      <c r="E607" s="5" t="n"/>
      <c r="F607" s="5" t="n"/>
      <c r="G607" s="5" t="n"/>
    </row>
    <row r="608" ht="15.75" customHeight="1" s="17">
      <c r="A608" s="5" t="n"/>
      <c r="B608" s="5" t="n"/>
      <c r="C608" s="5" t="n"/>
      <c r="D608" s="5" t="n"/>
      <c r="E608" s="5" t="n"/>
      <c r="F608" s="5" t="n"/>
      <c r="G608" s="5" t="n"/>
    </row>
    <row r="609" ht="15.75" customHeight="1" s="17">
      <c r="A609" s="5" t="n"/>
      <c r="B609" s="5" t="n"/>
      <c r="C609" s="5" t="n"/>
      <c r="D609" s="5" t="n"/>
      <c r="E609" s="5" t="n"/>
      <c r="F609" s="5" t="n"/>
      <c r="G609" s="5" t="n"/>
    </row>
    <row r="610" ht="15.75" customHeight="1" s="17">
      <c r="A610" s="5" t="n"/>
      <c r="B610" s="5" t="n"/>
      <c r="C610" s="5" t="n"/>
      <c r="D610" s="5" t="n"/>
      <c r="E610" s="5" t="n"/>
      <c r="F610" s="5" t="n"/>
      <c r="G610" s="5" t="n"/>
    </row>
    <row r="611" ht="15.75" customHeight="1" s="17">
      <c r="A611" s="5" t="n"/>
      <c r="B611" s="5" t="n"/>
      <c r="C611" s="5" t="n"/>
      <c r="D611" s="5" t="n"/>
      <c r="E611" s="5" t="n"/>
      <c r="F611" s="5" t="n"/>
      <c r="G611" s="5" t="n"/>
    </row>
    <row r="612" ht="15.75" customHeight="1" s="17">
      <c r="A612" s="5" t="n"/>
      <c r="B612" s="5" t="n"/>
      <c r="C612" s="5" t="n"/>
      <c r="D612" s="5" t="n"/>
      <c r="E612" s="5" t="n"/>
      <c r="F612" s="5" t="n"/>
      <c r="G612" s="5" t="n"/>
    </row>
    <row r="613" ht="15.75" customHeight="1" s="17">
      <c r="A613" s="5" t="n"/>
      <c r="B613" s="5" t="n"/>
      <c r="C613" s="5" t="n"/>
      <c r="D613" s="5" t="n"/>
      <c r="E613" s="5" t="n"/>
      <c r="F613" s="5" t="n"/>
      <c r="G613" s="5" t="n"/>
    </row>
    <row r="614" ht="15.75" customHeight="1" s="17">
      <c r="A614" s="5" t="n"/>
      <c r="B614" s="5" t="n"/>
      <c r="C614" s="5" t="n"/>
      <c r="D614" s="5" t="n"/>
      <c r="E614" s="5" t="n"/>
      <c r="F614" s="5" t="n"/>
      <c r="G614" s="5" t="n"/>
    </row>
    <row r="615" ht="15.75" customHeight="1" s="17">
      <c r="A615" s="5" t="n"/>
      <c r="B615" s="5" t="n"/>
      <c r="C615" s="5" t="n"/>
      <c r="D615" s="5" t="n"/>
      <c r="E615" s="5" t="n"/>
      <c r="F615" s="5" t="n"/>
      <c r="G615" s="5" t="n"/>
    </row>
    <row r="616" ht="15.75" customHeight="1" s="17">
      <c r="A616" s="5" t="n"/>
      <c r="B616" s="5" t="n"/>
      <c r="C616" s="5" t="n"/>
      <c r="D616" s="5" t="n"/>
      <c r="E616" s="5" t="n"/>
      <c r="F616" s="5" t="n"/>
      <c r="G616" s="5" t="n"/>
    </row>
    <row r="617" ht="15.75" customHeight="1" s="17">
      <c r="A617" s="5" t="n"/>
      <c r="B617" s="5" t="n"/>
      <c r="C617" s="5" t="n"/>
      <c r="D617" s="5" t="n"/>
      <c r="E617" s="5" t="n"/>
      <c r="F617" s="5" t="n"/>
      <c r="G617" s="5" t="n"/>
    </row>
    <row r="618" ht="15.75" customHeight="1" s="17">
      <c r="A618" s="5" t="n"/>
      <c r="B618" s="5" t="n"/>
      <c r="C618" s="5" t="n"/>
      <c r="D618" s="5" t="n"/>
      <c r="E618" s="5" t="n"/>
      <c r="F618" s="5" t="n"/>
      <c r="G618" s="5" t="n"/>
    </row>
    <row r="619" ht="15.75" customHeight="1" s="17">
      <c r="A619" s="5" t="n"/>
      <c r="B619" s="5" t="n"/>
      <c r="C619" s="5" t="n"/>
      <c r="D619" s="5" t="n"/>
      <c r="E619" s="5" t="n"/>
      <c r="F619" s="5" t="n"/>
      <c r="G619" s="5" t="n"/>
    </row>
    <row r="620" ht="15.75" customHeight="1" s="17">
      <c r="A620" s="5" t="n"/>
      <c r="B620" s="5" t="n"/>
      <c r="C620" s="5" t="n"/>
      <c r="D620" s="5" t="n"/>
      <c r="E620" s="5" t="n"/>
      <c r="F620" s="5" t="n"/>
      <c r="G620" s="5" t="n"/>
    </row>
    <row r="621" ht="15.75" customHeight="1" s="17">
      <c r="A621" s="5" t="n"/>
      <c r="B621" s="5" t="n"/>
      <c r="C621" s="5" t="n"/>
      <c r="D621" s="5" t="n"/>
      <c r="E621" s="5" t="n"/>
      <c r="F621" s="5" t="n"/>
      <c r="G621" s="5" t="n"/>
    </row>
    <row r="622" ht="15.75" customHeight="1" s="17">
      <c r="A622" s="5" t="n"/>
      <c r="B622" s="5" t="n"/>
      <c r="C622" s="5" t="n"/>
      <c r="D622" s="5" t="n"/>
      <c r="E622" s="5" t="n"/>
      <c r="F622" s="5" t="n"/>
      <c r="G622" s="5" t="n"/>
    </row>
    <row r="623" ht="15.75" customHeight="1" s="17">
      <c r="A623" s="5" t="n"/>
      <c r="B623" s="5" t="n"/>
      <c r="C623" s="5" t="n"/>
      <c r="D623" s="5" t="n"/>
      <c r="E623" s="5" t="n"/>
      <c r="F623" s="5" t="n"/>
      <c r="G623" s="5" t="n"/>
    </row>
    <row r="624" ht="15.75" customHeight="1" s="17">
      <c r="A624" s="5" t="n"/>
      <c r="B624" s="5" t="n"/>
      <c r="C624" s="5" t="n"/>
      <c r="D624" s="5" t="n"/>
      <c r="E624" s="5" t="n"/>
      <c r="F624" s="5" t="n"/>
      <c r="G624" s="5" t="n"/>
    </row>
    <row r="625" ht="15.75" customHeight="1" s="17">
      <c r="A625" s="5" t="n"/>
      <c r="B625" s="5" t="n"/>
      <c r="C625" s="5" t="n"/>
      <c r="D625" s="5" t="n"/>
      <c r="E625" s="5" t="n"/>
      <c r="F625" s="5" t="n"/>
      <c r="G625" s="5" t="n"/>
    </row>
    <row r="626" ht="15.75" customHeight="1" s="17">
      <c r="A626" s="5" t="n"/>
      <c r="B626" s="5" t="n"/>
      <c r="C626" s="5" t="n"/>
      <c r="D626" s="5" t="n"/>
      <c r="E626" s="5" t="n"/>
      <c r="F626" s="5" t="n"/>
      <c r="G626" s="5" t="n"/>
    </row>
    <row r="627" ht="15.75" customHeight="1" s="17">
      <c r="A627" s="5" t="n"/>
      <c r="B627" s="5" t="n"/>
      <c r="C627" s="5" t="n"/>
      <c r="D627" s="5" t="n"/>
      <c r="E627" s="5" t="n"/>
      <c r="F627" s="5" t="n"/>
      <c r="G627" s="5" t="n"/>
    </row>
    <row r="628" ht="15.75" customHeight="1" s="17">
      <c r="A628" s="5" t="n"/>
      <c r="B628" s="5" t="n"/>
      <c r="C628" s="5" t="n"/>
      <c r="D628" s="5" t="n"/>
      <c r="E628" s="5" t="n"/>
      <c r="F628" s="5" t="n"/>
      <c r="G628" s="5" t="n"/>
    </row>
    <row r="629" ht="15.75" customHeight="1" s="17">
      <c r="A629" s="5" t="n"/>
      <c r="B629" s="5" t="n"/>
      <c r="C629" s="5" t="n"/>
      <c r="D629" s="5" t="n"/>
      <c r="E629" s="5" t="n"/>
      <c r="F629" s="5" t="n"/>
      <c r="G629" s="5" t="n"/>
    </row>
    <row r="630" ht="15.75" customHeight="1" s="17">
      <c r="A630" s="5" t="n"/>
      <c r="B630" s="5" t="n"/>
      <c r="C630" s="5" t="n"/>
      <c r="D630" s="5" t="n"/>
      <c r="E630" s="5" t="n"/>
      <c r="F630" s="5" t="n"/>
      <c r="G630" s="5" t="n"/>
    </row>
    <row r="631" ht="15.75" customHeight="1" s="17">
      <c r="A631" s="5" t="n"/>
      <c r="B631" s="5" t="n"/>
      <c r="C631" s="5" t="n"/>
      <c r="D631" s="5" t="n"/>
      <c r="E631" s="5" t="n"/>
      <c r="F631" s="5" t="n"/>
      <c r="G631" s="5" t="n"/>
    </row>
    <row r="632" ht="15.75" customHeight="1" s="17">
      <c r="A632" s="5" t="n"/>
      <c r="B632" s="5" t="n"/>
      <c r="C632" s="5" t="n"/>
      <c r="D632" s="5" t="n"/>
      <c r="E632" s="5" t="n"/>
      <c r="F632" s="5" t="n"/>
      <c r="G632" s="5" t="n"/>
    </row>
    <row r="633" ht="15.75" customHeight="1" s="17">
      <c r="A633" s="5" t="n"/>
      <c r="B633" s="5" t="n"/>
      <c r="C633" s="5" t="n"/>
      <c r="D633" s="5" t="n"/>
      <c r="E633" s="5" t="n"/>
      <c r="F633" s="5" t="n"/>
      <c r="G633" s="5" t="n"/>
    </row>
    <row r="634" ht="15.75" customHeight="1" s="17">
      <c r="A634" s="5" t="n"/>
      <c r="B634" s="5" t="n"/>
      <c r="C634" s="5" t="n"/>
      <c r="D634" s="5" t="n"/>
      <c r="E634" s="5" t="n"/>
      <c r="F634" s="5" t="n"/>
      <c r="G634" s="5" t="n"/>
    </row>
    <row r="635" ht="15.75" customHeight="1" s="17">
      <c r="A635" s="5" t="n"/>
      <c r="B635" s="5" t="n"/>
      <c r="C635" s="5" t="n"/>
      <c r="D635" s="5" t="n"/>
      <c r="E635" s="5" t="n"/>
      <c r="F635" s="5" t="n"/>
      <c r="G635" s="5" t="n"/>
    </row>
    <row r="636" ht="15.75" customHeight="1" s="17">
      <c r="A636" s="5" t="n"/>
      <c r="B636" s="5" t="n"/>
      <c r="C636" s="5" t="n"/>
      <c r="D636" s="5" t="n"/>
      <c r="E636" s="5" t="n"/>
      <c r="F636" s="5" t="n"/>
      <c r="G636" s="5" t="n"/>
    </row>
    <row r="637" ht="15.75" customHeight="1" s="17">
      <c r="A637" s="5" t="n"/>
      <c r="B637" s="5" t="n"/>
      <c r="C637" s="5" t="n"/>
      <c r="D637" s="5" t="n"/>
      <c r="E637" s="5" t="n"/>
      <c r="F637" s="5" t="n"/>
      <c r="G637" s="5" t="n"/>
    </row>
    <row r="638" ht="15.75" customHeight="1" s="17">
      <c r="A638" s="5" t="n"/>
      <c r="B638" s="5" t="n"/>
      <c r="C638" s="5" t="n"/>
      <c r="D638" s="5" t="n"/>
      <c r="E638" s="5" t="n"/>
      <c r="F638" s="5" t="n"/>
      <c r="G638" s="5" t="n"/>
    </row>
    <row r="639" ht="15.75" customHeight="1" s="17">
      <c r="A639" s="5" t="n"/>
      <c r="B639" s="5" t="n"/>
      <c r="C639" s="5" t="n"/>
      <c r="D639" s="5" t="n"/>
      <c r="E639" s="5" t="n"/>
      <c r="F639" s="5" t="n"/>
      <c r="G639" s="5" t="n"/>
    </row>
    <row r="640" ht="15.75" customHeight="1" s="17">
      <c r="A640" s="5" t="n"/>
      <c r="B640" s="5" t="n"/>
      <c r="C640" s="5" t="n"/>
      <c r="D640" s="5" t="n"/>
      <c r="E640" s="5" t="n"/>
      <c r="F640" s="5" t="n"/>
      <c r="G640" s="5" t="n"/>
    </row>
    <row r="641" ht="15.75" customHeight="1" s="17">
      <c r="A641" s="5" t="n"/>
      <c r="B641" s="5" t="n"/>
      <c r="C641" s="5" t="n"/>
      <c r="D641" s="5" t="n"/>
      <c r="E641" s="5" t="n"/>
      <c r="F641" s="5" t="n"/>
      <c r="G641" s="5" t="n"/>
    </row>
    <row r="642" ht="15.75" customHeight="1" s="17">
      <c r="A642" s="5" t="n"/>
      <c r="B642" s="5" t="n"/>
      <c r="C642" s="5" t="n"/>
      <c r="D642" s="5" t="n"/>
      <c r="E642" s="5" t="n"/>
      <c r="F642" s="5" t="n"/>
      <c r="G642" s="5" t="n"/>
    </row>
    <row r="643" ht="15.75" customHeight="1" s="17">
      <c r="A643" s="5" t="n"/>
      <c r="B643" s="5" t="n"/>
      <c r="C643" s="5" t="n"/>
      <c r="D643" s="5" t="n"/>
      <c r="E643" s="5" t="n"/>
      <c r="F643" s="5" t="n"/>
      <c r="G643" s="5" t="n"/>
    </row>
    <row r="644" ht="15.75" customHeight="1" s="17">
      <c r="A644" s="5" t="n"/>
      <c r="B644" s="5" t="n"/>
      <c r="C644" s="5" t="n"/>
      <c r="D644" s="5" t="n"/>
      <c r="E644" s="5" t="n"/>
      <c r="F644" s="5" t="n"/>
      <c r="G644" s="5" t="n"/>
    </row>
    <row r="645" ht="15.75" customHeight="1" s="17">
      <c r="A645" s="5" t="n"/>
      <c r="B645" s="5" t="n"/>
      <c r="C645" s="5" t="n"/>
      <c r="D645" s="5" t="n"/>
      <c r="E645" s="5" t="n"/>
      <c r="F645" s="5" t="n"/>
      <c r="G645" s="5" t="n"/>
    </row>
    <row r="646" ht="15.75" customHeight="1" s="17">
      <c r="A646" s="5" t="n"/>
      <c r="B646" s="5" t="n"/>
      <c r="C646" s="5" t="n"/>
      <c r="D646" s="5" t="n"/>
      <c r="E646" s="5" t="n"/>
      <c r="F646" s="5" t="n"/>
      <c r="G646" s="5" t="n"/>
    </row>
    <row r="647" ht="15.75" customHeight="1" s="17">
      <c r="A647" s="5" t="n"/>
      <c r="B647" s="5" t="n"/>
      <c r="C647" s="5" t="n"/>
      <c r="D647" s="5" t="n"/>
      <c r="E647" s="5" t="n"/>
      <c r="F647" s="5" t="n"/>
      <c r="G647" s="5" t="n"/>
    </row>
    <row r="648" ht="15.75" customHeight="1" s="17">
      <c r="A648" s="5" t="n"/>
      <c r="B648" s="5" t="n"/>
      <c r="C648" s="5" t="n"/>
      <c r="D648" s="5" t="n"/>
      <c r="E648" s="5" t="n"/>
      <c r="F648" s="5" t="n"/>
      <c r="G648" s="5" t="n"/>
    </row>
    <row r="649" ht="15.75" customHeight="1" s="17">
      <c r="A649" s="5" t="n"/>
      <c r="B649" s="5" t="n"/>
      <c r="C649" s="5" t="n"/>
      <c r="D649" s="5" t="n"/>
      <c r="E649" s="5" t="n"/>
      <c r="F649" s="5" t="n"/>
      <c r="G649" s="5" t="n"/>
    </row>
    <row r="650" ht="15.75" customHeight="1" s="17">
      <c r="A650" s="5" t="n"/>
      <c r="B650" s="5" t="n"/>
      <c r="C650" s="5" t="n"/>
      <c r="D650" s="5" t="n"/>
      <c r="E650" s="5" t="n"/>
      <c r="F650" s="5" t="n"/>
      <c r="G650" s="5" t="n"/>
    </row>
    <row r="651" ht="15.75" customHeight="1" s="17">
      <c r="A651" s="5" t="n"/>
      <c r="B651" s="5" t="n"/>
      <c r="C651" s="5" t="n"/>
      <c r="D651" s="5" t="n"/>
      <c r="E651" s="5" t="n"/>
      <c r="F651" s="5" t="n"/>
      <c r="G651" s="5" t="n"/>
    </row>
    <row r="652" ht="15.75" customHeight="1" s="17">
      <c r="A652" s="5" t="n"/>
      <c r="B652" s="5" t="n"/>
      <c r="C652" s="5" t="n"/>
      <c r="D652" s="5" t="n"/>
      <c r="E652" s="5" t="n"/>
      <c r="F652" s="5" t="n"/>
      <c r="G652" s="5" t="n"/>
    </row>
    <row r="653" ht="15.75" customHeight="1" s="17">
      <c r="A653" s="5" t="n"/>
      <c r="B653" s="5" t="n"/>
      <c r="C653" s="5" t="n"/>
      <c r="D653" s="5" t="n"/>
      <c r="E653" s="5" t="n"/>
      <c r="F653" s="5" t="n"/>
      <c r="G653" s="5" t="n"/>
    </row>
    <row r="654" ht="15.75" customHeight="1" s="17">
      <c r="A654" s="5" t="n"/>
      <c r="B654" s="5" t="n"/>
      <c r="C654" s="5" t="n"/>
      <c r="D654" s="5" t="n"/>
      <c r="E654" s="5" t="n"/>
      <c r="F654" s="5" t="n"/>
      <c r="G654" s="5" t="n"/>
    </row>
    <row r="655" ht="15.75" customHeight="1" s="17">
      <c r="A655" s="5" t="n"/>
      <c r="B655" s="5" t="n"/>
      <c r="C655" s="5" t="n"/>
      <c r="D655" s="5" t="n"/>
      <c r="E655" s="5" t="n"/>
      <c r="F655" s="5" t="n"/>
      <c r="G655" s="5" t="n"/>
    </row>
    <row r="656" ht="15.75" customHeight="1" s="17">
      <c r="A656" s="5" t="n"/>
      <c r="B656" s="5" t="n"/>
      <c r="C656" s="5" t="n"/>
      <c r="D656" s="5" t="n"/>
      <c r="E656" s="5" t="n"/>
      <c r="F656" s="5" t="n"/>
      <c r="G656" s="5" t="n"/>
    </row>
    <row r="657" ht="15.75" customHeight="1" s="17">
      <c r="A657" s="5" t="n"/>
      <c r="B657" s="5" t="n"/>
      <c r="C657" s="5" t="n"/>
      <c r="D657" s="5" t="n"/>
      <c r="E657" s="5" t="n"/>
      <c r="F657" s="5" t="n"/>
      <c r="G657" s="5" t="n"/>
    </row>
    <row r="658" ht="15.75" customHeight="1" s="17">
      <c r="A658" s="5" t="n"/>
      <c r="B658" s="5" t="n"/>
      <c r="C658" s="5" t="n"/>
      <c r="D658" s="5" t="n"/>
      <c r="E658" s="5" t="n"/>
      <c r="F658" s="5" t="n"/>
      <c r="G658" s="5" t="n"/>
    </row>
    <row r="659" ht="15.75" customHeight="1" s="17">
      <c r="A659" s="5" t="n"/>
      <c r="B659" s="5" t="n"/>
      <c r="C659" s="5" t="n"/>
      <c r="D659" s="5" t="n"/>
      <c r="E659" s="5" t="n"/>
      <c r="F659" s="5" t="n"/>
      <c r="G659" s="5" t="n"/>
    </row>
    <row r="660" ht="15.75" customHeight="1" s="17">
      <c r="A660" s="5" t="n"/>
      <c r="B660" s="5" t="n"/>
      <c r="C660" s="5" t="n"/>
      <c r="D660" s="5" t="n"/>
      <c r="E660" s="5" t="n"/>
      <c r="F660" s="5" t="n"/>
      <c r="G660" s="5" t="n"/>
    </row>
    <row r="661" ht="15.75" customHeight="1" s="17">
      <c r="A661" s="5" t="n"/>
      <c r="B661" s="5" t="n"/>
      <c r="C661" s="5" t="n"/>
      <c r="D661" s="5" t="n"/>
      <c r="E661" s="5" t="n"/>
      <c r="F661" s="5" t="n"/>
      <c r="G661" s="5" t="n"/>
    </row>
    <row r="662" ht="15.75" customHeight="1" s="17">
      <c r="A662" s="5" t="n"/>
      <c r="B662" s="5" t="n"/>
      <c r="C662" s="5" t="n"/>
      <c r="D662" s="5" t="n"/>
      <c r="E662" s="5" t="n"/>
      <c r="F662" s="5" t="n"/>
      <c r="G662" s="5" t="n"/>
    </row>
    <row r="663" ht="15.75" customHeight="1" s="17">
      <c r="A663" s="5" t="n"/>
      <c r="B663" s="5" t="n"/>
      <c r="C663" s="5" t="n"/>
      <c r="D663" s="5" t="n"/>
      <c r="E663" s="5" t="n"/>
      <c r="F663" s="5" t="n"/>
      <c r="G663" s="5" t="n"/>
    </row>
    <row r="664" ht="15.75" customHeight="1" s="17">
      <c r="A664" s="5" t="n"/>
      <c r="B664" s="5" t="n"/>
      <c r="C664" s="5" t="n"/>
      <c r="D664" s="5" t="n"/>
      <c r="E664" s="5" t="n"/>
      <c r="F664" s="5" t="n"/>
      <c r="G664" s="5" t="n"/>
    </row>
    <row r="665" ht="15.75" customHeight="1" s="17">
      <c r="A665" s="5" t="n"/>
      <c r="B665" s="5" t="n"/>
      <c r="C665" s="5" t="n"/>
      <c r="D665" s="5" t="n"/>
      <c r="E665" s="5" t="n"/>
      <c r="F665" s="5" t="n"/>
      <c r="G665" s="5" t="n"/>
    </row>
    <row r="666" ht="15.75" customHeight="1" s="17">
      <c r="A666" s="5" t="n"/>
      <c r="B666" s="5" t="n"/>
      <c r="C666" s="5" t="n"/>
      <c r="D666" s="5" t="n"/>
      <c r="E666" s="5" t="n"/>
      <c r="F666" s="5" t="n"/>
      <c r="G666" s="5" t="n"/>
    </row>
    <row r="667" ht="15.75" customHeight="1" s="17">
      <c r="A667" s="5" t="n"/>
      <c r="B667" s="5" t="n"/>
      <c r="C667" s="5" t="n"/>
      <c r="D667" s="5" t="n"/>
      <c r="E667" s="5" t="n"/>
      <c r="F667" s="5" t="n"/>
      <c r="G667" s="5" t="n"/>
    </row>
    <row r="668" ht="15.75" customHeight="1" s="17">
      <c r="A668" s="5" t="n"/>
      <c r="B668" s="5" t="n"/>
      <c r="C668" s="5" t="n"/>
      <c r="D668" s="5" t="n"/>
      <c r="E668" s="5" t="n"/>
      <c r="F668" s="5" t="n"/>
      <c r="G668" s="5" t="n"/>
    </row>
    <row r="669" ht="15.75" customHeight="1" s="17">
      <c r="A669" s="5" t="n"/>
      <c r="B669" s="5" t="n"/>
      <c r="C669" s="5" t="n"/>
      <c r="D669" s="5" t="n"/>
      <c r="E669" s="5" t="n"/>
      <c r="F669" s="5" t="n"/>
      <c r="G669" s="5" t="n"/>
    </row>
    <row r="670" ht="15.75" customHeight="1" s="17">
      <c r="A670" s="5" t="n"/>
      <c r="B670" s="5" t="n"/>
      <c r="C670" s="5" t="n"/>
      <c r="D670" s="5" t="n"/>
      <c r="E670" s="5" t="n"/>
      <c r="F670" s="5" t="n"/>
      <c r="G670" s="5" t="n"/>
    </row>
    <row r="671" ht="15.75" customHeight="1" s="17">
      <c r="A671" s="5" t="n"/>
      <c r="B671" s="5" t="n"/>
      <c r="C671" s="5" t="n"/>
      <c r="D671" s="5" t="n"/>
      <c r="E671" s="5" t="n"/>
      <c r="F671" s="5" t="n"/>
      <c r="G671" s="5" t="n"/>
    </row>
    <row r="672" ht="15.75" customHeight="1" s="17">
      <c r="A672" s="5" t="n"/>
      <c r="B672" s="5" t="n"/>
      <c r="C672" s="5" t="n"/>
      <c r="D672" s="5" t="n"/>
      <c r="E672" s="5" t="n"/>
      <c r="F672" s="5" t="n"/>
      <c r="G672" s="5" t="n"/>
    </row>
    <row r="673" ht="15.75" customHeight="1" s="17">
      <c r="A673" s="5" t="n"/>
      <c r="B673" s="5" t="n"/>
      <c r="C673" s="5" t="n"/>
      <c r="D673" s="5" t="n"/>
      <c r="E673" s="5" t="n"/>
      <c r="F673" s="5" t="n"/>
      <c r="G673" s="5" t="n"/>
    </row>
    <row r="674" ht="15.75" customHeight="1" s="17">
      <c r="A674" s="5" t="n"/>
      <c r="B674" s="5" t="n"/>
      <c r="C674" s="5" t="n"/>
      <c r="D674" s="5" t="n"/>
      <c r="E674" s="5" t="n"/>
      <c r="F674" s="5" t="n"/>
      <c r="G674" s="5" t="n"/>
    </row>
    <row r="675" ht="15.75" customHeight="1" s="17">
      <c r="A675" s="5" t="n"/>
      <c r="B675" s="5" t="n"/>
      <c r="C675" s="5" t="n"/>
      <c r="D675" s="5" t="n"/>
      <c r="E675" s="5" t="n"/>
      <c r="F675" s="5" t="n"/>
      <c r="G675" s="5" t="n"/>
    </row>
    <row r="676" ht="15.75" customHeight="1" s="17">
      <c r="A676" s="5" t="n"/>
      <c r="B676" s="5" t="n"/>
      <c r="C676" s="5" t="n"/>
      <c r="D676" s="5" t="n"/>
      <c r="E676" s="5" t="n"/>
      <c r="F676" s="5" t="n"/>
      <c r="G676" s="5" t="n"/>
    </row>
    <row r="677" ht="15.75" customHeight="1" s="17">
      <c r="A677" s="5" t="n"/>
      <c r="B677" s="5" t="n"/>
      <c r="C677" s="5" t="n"/>
      <c r="D677" s="5" t="n"/>
      <c r="E677" s="5" t="n"/>
      <c r="F677" s="5" t="n"/>
      <c r="G677" s="5" t="n"/>
    </row>
    <row r="678" ht="15.75" customHeight="1" s="17">
      <c r="A678" s="5" t="n"/>
      <c r="B678" s="5" t="n"/>
      <c r="C678" s="5" t="n"/>
      <c r="D678" s="5" t="n"/>
      <c r="E678" s="5" t="n"/>
      <c r="F678" s="5" t="n"/>
      <c r="G678" s="5" t="n"/>
    </row>
    <row r="679" ht="15.75" customHeight="1" s="17">
      <c r="A679" s="5" t="n"/>
      <c r="B679" s="5" t="n"/>
      <c r="C679" s="5" t="n"/>
      <c r="D679" s="5" t="n"/>
      <c r="E679" s="5" t="n"/>
      <c r="F679" s="5" t="n"/>
      <c r="G679" s="5" t="n"/>
    </row>
    <row r="680" ht="15.75" customHeight="1" s="17">
      <c r="A680" s="5" t="n"/>
      <c r="B680" s="5" t="n"/>
      <c r="C680" s="5" t="n"/>
      <c r="D680" s="5" t="n"/>
      <c r="E680" s="5" t="n"/>
      <c r="F680" s="5" t="n"/>
      <c r="G680" s="5" t="n"/>
    </row>
    <row r="681" ht="15.75" customHeight="1" s="17">
      <c r="A681" s="5" t="n"/>
      <c r="B681" s="5" t="n"/>
      <c r="C681" s="5" t="n"/>
      <c r="D681" s="5" t="n"/>
      <c r="E681" s="5" t="n"/>
      <c r="F681" s="5" t="n"/>
      <c r="G681" s="5" t="n"/>
    </row>
    <row r="682" ht="15.75" customHeight="1" s="17">
      <c r="A682" s="5" t="n"/>
      <c r="B682" s="5" t="n"/>
      <c r="C682" s="5" t="n"/>
      <c r="D682" s="5" t="n"/>
      <c r="E682" s="5" t="n"/>
      <c r="F682" s="5" t="n"/>
      <c r="G682" s="5" t="n"/>
    </row>
    <row r="683" ht="15.75" customHeight="1" s="17">
      <c r="A683" s="5" t="n"/>
      <c r="B683" s="5" t="n"/>
      <c r="C683" s="5" t="n"/>
      <c r="D683" s="5" t="n"/>
      <c r="E683" s="5" t="n"/>
      <c r="F683" s="5" t="n"/>
      <c r="G683" s="5" t="n"/>
    </row>
    <row r="684" ht="15.75" customHeight="1" s="17">
      <c r="A684" s="5" t="n"/>
      <c r="B684" s="5" t="n"/>
      <c r="C684" s="5" t="n"/>
      <c r="D684" s="5" t="n"/>
      <c r="E684" s="5" t="n"/>
      <c r="F684" s="5" t="n"/>
      <c r="G684" s="5" t="n"/>
    </row>
    <row r="685" ht="15.75" customHeight="1" s="17">
      <c r="A685" s="5" t="n"/>
      <c r="B685" s="5" t="n"/>
      <c r="C685" s="5" t="n"/>
      <c r="D685" s="5" t="n"/>
      <c r="E685" s="5" t="n"/>
      <c r="F685" s="5" t="n"/>
      <c r="G685" s="5" t="n"/>
    </row>
    <row r="686" ht="15.75" customHeight="1" s="17">
      <c r="A686" s="5" t="n"/>
      <c r="B686" s="5" t="n"/>
      <c r="C686" s="5" t="n"/>
      <c r="D686" s="5" t="n"/>
      <c r="E686" s="5" t="n"/>
      <c r="F686" s="5" t="n"/>
      <c r="G686" s="5" t="n"/>
    </row>
    <row r="687" ht="15.75" customHeight="1" s="17">
      <c r="A687" s="5" t="n"/>
      <c r="B687" s="5" t="n"/>
      <c r="C687" s="5" t="n"/>
      <c r="D687" s="5" t="n"/>
      <c r="E687" s="5" t="n"/>
      <c r="F687" s="5" t="n"/>
      <c r="G687" s="5" t="n"/>
    </row>
    <row r="688" ht="15.75" customHeight="1" s="17">
      <c r="A688" s="5" t="n"/>
      <c r="B688" s="5" t="n"/>
      <c r="C688" s="5" t="n"/>
      <c r="D688" s="5" t="n"/>
      <c r="E688" s="5" t="n"/>
      <c r="F688" s="5" t="n"/>
      <c r="G688" s="5" t="n"/>
    </row>
    <row r="689" ht="15.75" customHeight="1" s="17">
      <c r="A689" s="5" t="n"/>
      <c r="B689" s="5" t="n"/>
      <c r="C689" s="5" t="n"/>
      <c r="D689" s="5" t="n"/>
      <c r="E689" s="5" t="n"/>
      <c r="F689" s="5" t="n"/>
      <c r="G689" s="5" t="n"/>
    </row>
    <row r="690" ht="15.75" customHeight="1" s="17">
      <c r="A690" s="5" t="n"/>
      <c r="B690" s="5" t="n"/>
      <c r="C690" s="5" t="n"/>
      <c r="D690" s="5" t="n"/>
      <c r="E690" s="5" t="n"/>
      <c r="F690" s="5" t="n"/>
      <c r="G690" s="5" t="n"/>
    </row>
    <row r="691" ht="15.75" customHeight="1" s="17">
      <c r="A691" s="5" t="n"/>
      <c r="B691" s="5" t="n"/>
      <c r="C691" s="5" t="n"/>
      <c r="D691" s="5" t="n"/>
      <c r="E691" s="5" t="n"/>
      <c r="F691" s="5" t="n"/>
      <c r="G691" s="5" t="n"/>
    </row>
    <row r="692" ht="15.75" customHeight="1" s="17">
      <c r="A692" s="5" t="n"/>
      <c r="B692" s="5" t="n"/>
      <c r="C692" s="5" t="n"/>
      <c r="D692" s="5" t="n"/>
      <c r="E692" s="5" t="n"/>
      <c r="F692" s="5" t="n"/>
      <c r="G692" s="5" t="n"/>
    </row>
    <row r="693" ht="15.75" customHeight="1" s="17">
      <c r="A693" s="5" t="n"/>
      <c r="B693" s="5" t="n"/>
      <c r="C693" s="5" t="n"/>
      <c r="D693" s="5" t="n"/>
      <c r="E693" s="5" t="n"/>
      <c r="F693" s="5" t="n"/>
      <c r="G693" s="5" t="n"/>
    </row>
    <row r="694" ht="15.75" customHeight="1" s="17">
      <c r="A694" s="5" t="n"/>
      <c r="B694" s="5" t="n"/>
      <c r="C694" s="5" t="n"/>
      <c r="D694" s="5" t="n"/>
      <c r="E694" s="5" t="n"/>
      <c r="F694" s="5" t="n"/>
      <c r="G694" s="5" t="n"/>
    </row>
    <row r="695" ht="15.75" customHeight="1" s="17">
      <c r="A695" s="5" t="n"/>
      <c r="B695" s="5" t="n"/>
      <c r="C695" s="5" t="n"/>
      <c r="D695" s="5" t="n"/>
      <c r="E695" s="5" t="n"/>
      <c r="F695" s="5" t="n"/>
      <c r="G695" s="5" t="n"/>
    </row>
    <row r="696" ht="15.75" customHeight="1" s="17">
      <c r="A696" s="5" t="n"/>
      <c r="B696" s="5" t="n"/>
      <c r="C696" s="5" t="n"/>
      <c r="D696" s="5" t="n"/>
      <c r="E696" s="5" t="n"/>
      <c r="F696" s="5" t="n"/>
      <c r="G696" s="5" t="n"/>
    </row>
    <row r="697" ht="15.75" customHeight="1" s="17">
      <c r="A697" s="5" t="n"/>
      <c r="B697" s="5" t="n"/>
      <c r="C697" s="5" t="n"/>
      <c r="D697" s="5" t="n"/>
      <c r="E697" s="5" t="n"/>
      <c r="F697" s="5" t="n"/>
      <c r="G697" s="5" t="n"/>
    </row>
    <row r="698" ht="15.75" customHeight="1" s="17">
      <c r="A698" s="5" t="n"/>
      <c r="B698" s="5" t="n"/>
      <c r="C698" s="5" t="n"/>
      <c r="D698" s="5" t="n"/>
      <c r="E698" s="5" t="n"/>
      <c r="F698" s="5" t="n"/>
      <c r="G698" s="5" t="n"/>
    </row>
    <row r="699" ht="15.75" customHeight="1" s="17">
      <c r="A699" s="5" t="n"/>
      <c r="B699" s="5" t="n"/>
      <c r="C699" s="5" t="n"/>
      <c r="D699" s="5" t="n"/>
      <c r="E699" s="5" t="n"/>
      <c r="F699" s="5" t="n"/>
      <c r="G699" s="5" t="n"/>
    </row>
    <row r="700" ht="15.75" customHeight="1" s="17">
      <c r="A700" s="5" t="n"/>
      <c r="B700" s="5" t="n"/>
      <c r="C700" s="5" t="n"/>
      <c r="D700" s="5" t="n"/>
      <c r="E700" s="5" t="n"/>
      <c r="F700" s="5" t="n"/>
      <c r="G700" s="5" t="n"/>
    </row>
    <row r="701" ht="15.75" customHeight="1" s="17">
      <c r="A701" s="5" t="n"/>
      <c r="B701" s="5" t="n"/>
      <c r="C701" s="5" t="n"/>
      <c r="D701" s="5" t="n"/>
      <c r="E701" s="5" t="n"/>
      <c r="F701" s="5" t="n"/>
      <c r="G701" s="5" t="n"/>
    </row>
    <row r="702" ht="15.75" customHeight="1" s="17">
      <c r="A702" s="5" t="n"/>
      <c r="B702" s="5" t="n"/>
      <c r="C702" s="5" t="n"/>
      <c r="D702" s="5" t="n"/>
      <c r="E702" s="5" t="n"/>
      <c r="F702" s="5" t="n"/>
      <c r="G702" s="5" t="n"/>
    </row>
    <row r="703" ht="15.75" customHeight="1" s="17">
      <c r="A703" s="5" t="n"/>
      <c r="B703" s="5" t="n"/>
      <c r="C703" s="5" t="n"/>
      <c r="D703" s="5" t="n"/>
      <c r="E703" s="5" t="n"/>
      <c r="F703" s="5" t="n"/>
      <c r="G703" s="5" t="n"/>
    </row>
    <row r="704" ht="15.75" customHeight="1" s="17">
      <c r="A704" s="5" t="n"/>
      <c r="B704" s="5" t="n"/>
      <c r="C704" s="5" t="n"/>
      <c r="D704" s="5" t="n"/>
      <c r="E704" s="5" t="n"/>
      <c r="F704" s="5" t="n"/>
      <c r="G704" s="5" t="n"/>
    </row>
    <row r="705" ht="15.75" customHeight="1" s="17">
      <c r="A705" s="5" t="n"/>
      <c r="B705" s="5" t="n"/>
      <c r="C705" s="5" t="n"/>
      <c r="D705" s="5" t="n"/>
      <c r="E705" s="5" t="n"/>
      <c r="F705" s="5" t="n"/>
      <c r="G705" s="5" t="n"/>
    </row>
    <row r="706" ht="15.75" customHeight="1" s="17">
      <c r="A706" s="5" t="n"/>
      <c r="B706" s="5" t="n"/>
      <c r="C706" s="5" t="n"/>
      <c r="D706" s="5" t="n"/>
      <c r="E706" s="5" t="n"/>
      <c r="F706" s="5" t="n"/>
      <c r="G706" s="5" t="n"/>
    </row>
    <row r="707" ht="15.75" customHeight="1" s="17">
      <c r="A707" s="5" t="n"/>
      <c r="B707" s="5" t="n"/>
      <c r="C707" s="5" t="n"/>
      <c r="D707" s="5" t="n"/>
      <c r="E707" s="5" t="n"/>
      <c r="F707" s="5" t="n"/>
      <c r="G707" s="5" t="n"/>
    </row>
    <row r="708" ht="15.75" customHeight="1" s="17">
      <c r="A708" s="5" t="n"/>
      <c r="B708" s="5" t="n"/>
      <c r="C708" s="5" t="n"/>
      <c r="D708" s="5" t="n"/>
      <c r="E708" s="5" t="n"/>
      <c r="F708" s="5" t="n"/>
      <c r="G708" s="5" t="n"/>
    </row>
    <row r="709" ht="15.75" customHeight="1" s="17">
      <c r="A709" s="5" t="n"/>
      <c r="B709" s="5" t="n"/>
      <c r="C709" s="5" t="n"/>
      <c r="D709" s="5" t="n"/>
      <c r="E709" s="5" t="n"/>
      <c r="F709" s="5" t="n"/>
      <c r="G709" s="5" t="n"/>
    </row>
    <row r="710" ht="15.75" customHeight="1" s="17">
      <c r="A710" s="5" t="n"/>
      <c r="B710" s="5" t="n"/>
      <c r="C710" s="5" t="n"/>
      <c r="D710" s="5" t="n"/>
      <c r="E710" s="5" t="n"/>
      <c r="F710" s="5" t="n"/>
      <c r="G710" s="5" t="n"/>
    </row>
    <row r="711" ht="15.75" customHeight="1" s="17">
      <c r="A711" s="5" t="n"/>
      <c r="B711" s="5" t="n"/>
      <c r="C711" s="5" t="n"/>
      <c r="D711" s="5" t="n"/>
      <c r="E711" s="5" t="n"/>
      <c r="F711" s="5" t="n"/>
      <c r="G711" s="5" t="n"/>
    </row>
    <row r="712" ht="15.75" customHeight="1" s="17">
      <c r="A712" s="5" t="n"/>
      <c r="B712" s="5" t="n"/>
      <c r="C712" s="5" t="n"/>
      <c r="D712" s="5" t="n"/>
      <c r="E712" s="5" t="n"/>
      <c r="F712" s="5" t="n"/>
      <c r="G712" s="5" t="n"/>
    </row>
    <row r="713" ht="15.75" customHeight="1" s="17">
      <c r="A713" s="5" t="n"/>
      <c r="B713" s="5" t="n"/>
      <c r="C713" s="5" t="n"/>
      <c r="D713" s="5" t="n"/>
      <c r="E713" s="5" t="n"/>
      <c r="F713" s="5" t="n"/>
      <c r="G713" s="5" t="n"/>
    </row>
    <row r="714" ht="15.75" customHeight="1" s="17">
      <c r="A714" s="5" t="n"/>
      <c r="B714" s="5" t="n"/>
      <c r="C714" s="5" t="n"/>
      <c r="D714" s="5" t="n"/>
      <c r="E714" s="5" t="n"/>
      <c r="F714" s="5" t="n"/>
      <c r="G714" s="5" t="n"/>
    </row>
    <row r="715" ht="15.75" customHeight="1" s="17">
      <c r="A715" s="5" t="n"/>
      <c r="B715" s="5" t="n"/>
      <c r="C715" s="5" t="n"/>
      <c r="D715" s="5" t="n"/>
      <c r="E715" s="5" t="n"/>
      <c r="F715" s="5" t="n"/>
      <c r="G715" s="5" t="n"/>
    </row>
    <row r="716" ht="15.75" customHeight="1" s="17">
      <c r="A716" s="5" t="n"/>
      <c r="B716" s="5" t="n"/>
      <c r="C716" s="5" t="n"/>
      <c r="D716" s="5" t="n"/>
      <c r="E716" s="5" t="n"/>
      <c r="F716" s="5" t="n"/>
      <c r="G716" s="5" t="n"/>
    </row>
    <row r="717" ht="15.75" customHeight="1" s="17">
      <c r="A717" s="5" t="n"/>
      <c r="B717" s="5" t="n"/>
      <c r="C717" s="5" t="n"/>
      <c r="D717" s="5" t="n"/>
      <c r="E717" s="5" t="n"/>
      <c r="F717" s="5" t="n"/>
      <c r="G717" s="5" t="n"/>
    </row>
    <row r="718" ht="15.75" customHeight="1" s="17">
      <c r="A718" s="5" t="n"/>
      <c r="B718" s="5" t="n"/>
      <c r="C718" s="5" t="n"/>
      <c r="D718" s="5" t="n"/>
      <c r="E718" s="5" t="n"/>
      <c r="F718" s="5" t="n"/>
      <c r="G718" s="5" t="n"/>
    </row>
    <row r="719" ht="15.75" customHeight="1" s="17">
      <c r="A719" s="5" t="n"/>
      <c r="B719" s="5" t="n"/>
      <c r="C719" s="5" t="n"/>
      <c r="D719" s="5" t="n"/>
      <c r="E719" s="5" t="n"/>
      <c r="F719" s="5" t="n"/>
      <c r="G719" s="5" t="n"/>
    </row>
    <row r="720" ht="15.75" customHeight="1" s="17">
      <c r="A720" s="5" t="n"/>
      <c r="B720" s="5" t="n"/>
      <c r="C720" s="5" t="n"/>
      <c r="D720" s="5" t="n"/>
      <c r="E720" s="5" t="n"/>
      <c r="F720" s="5" t="n"/>
      <c r="G720" s="5" t="n"/>
    </row>
    <row r="721" ht="15.75" customHeight="1" s="17">
      <c r="A721" s="5" t="n"/>
      <c r="B721" s="5" t="n"/>
      <c r="C721" s="5" t="n"/>
      <c r="D721" s="5" t="n"/>
      <c r="E721" s="5" t="n"/>
      <c r="F721" s="5" t="n"/>
      <c r="G721" s="5" t="n"/>
    </row>
    <row r="722" ht="15.75" customHeight="1" s="17">
      <c r="A722" s="5" t="n"/>
      <c r="B722" s="5" t="n"/>
      <c r="C722" s="5" t="n"/>
      <c r="D722" s="5" t="n"/>
      <c r="E722" s="5" t="n"/>
      <c r="F722" s="5" t="n"/>
      <c r="G722" s="5" t="n"/>
    </row>
    <row r="723" ht="15.75" customHeight="1" s="17">
      <c r="A723" s="5" t="n"/>
      <c r="B723" s="5" t="n"/>
      <c r="C723" s="5" t="n"/>
      <c r="D723" s="5" t="n"/>
      <c r="E723" s="5" t="n"/>
      <c r="F723" s="5" t="n"/>
      <c r="G723" s="5" t="n"/>
    </row>
    <row r="724" ht="15.75" customHeight="1" s="17">
      <c r="A724" s="5" t="n"/>
      <c r="B724" s="5" t="n"/>
      <c r="C724" s="5" t="n"/>
      <c r="D724" s="5" t="n"/>
      <c r="E724" s="5" t="n"/>
      <c r="F724" s="5" t="n"/>
      <c r="G724" s="5" t="n"/>
    </row>
    <row r="725" ht="15.75" customHeight="1" s="17">
      <c r="A725" s="5" t="n"/>
      <c r="B725" s="5" t="n"/>
      <c r="C725" s="5" t="n"/>
      <c r="D725" s="5" t="n"/>
      <c r="E725" s="5" t="n"/>
      <c r="F725" s="5" t="n"/>
      <c r="G725" s="5" t="n"/>
    </row>
    <row r="726" ht="15.75" customHeight="1" s="17">
      <c r="A726" s="5" t="n"/>
      <c r="B726" s="5" t="n"/>
      <c r="C726" s="5" t="n"/>
      <c r="D726" s="5" t="n"/>
      <c r="E726" s="5" t="n"/>
      <c r="F726" s="5" t="n"/>
      <c r="G726" s="5" t="n"/>
    </row>
    <row r="727" ht="15.75" customHeight="1" s="17">
      <c r="A727" s="5" t="n"/>
      <c r="B727" s="5" t="n"/>
      <c r="C727" s="5" t="n"/>
      <c r="D727" s="5" t="n"/>
      <c r="E727" s="5" t="n"/>
      <c r="F727" s="5" t="n"/>
      <c r="G727" s="5" t="n"/>
    </row>
    <row r="728" ht="15.75" customHeight="1" s="17">
      <c r="A728" s="5" t="n"/>
      <c r="B728" s="5" t="n"/>
      <c r="C728" s="5" t="n"/>
      <c r="D728" s="5" t="n"/>
      <c r="E728" s="5" t="n"/>
      <c r="F728" s="5" t="n"/>
      <c r="G728" s="5" t="n"/>
    </row>
    <row r="729" ht="15.75" customHeight="1" s="17">
      <c r="A729" s="5" t="n"/>
      <c r="B729" s="5" t="n"/>
      <c r="C729" s="5" t="n"/>
      <c r="D729" s="5" t="n"/>
      <c r="E729" s="5" t="n"/>
      <c r="F729" s="5" t="n"/>
      <c r="G729" s="5" t="n"/>
    </row>
    <row r="730" ht="15.75" customHeight="1" s="17">
      <c r="A730" s="5" t="n"/>
      <c r="B730" s="5" t="n"/>
      <c r="C730" s="5" t="n"/>
      <c r="D730" s="5" t="n"/>
      <c r="E730" s="5" t="n"/>
      <c r="F730" s="5" t="n"/>
      <c r="G730" s="5" t="n"/>
    </row>
    <row r="731" ht="15.75" customHeight="1" s="17">
      <c r="A731" s="5" t="n"/>
      <c r="B731" s="5" t="n"/>
      <c r="C731" s="5" t="n"/>
      <c r="D731" s="5" t="n"/>
      <c r="E731" s="5" t="n"/>
      <c r="F731" s="5" t="n"/>
      <c r="G731" s="5" t="n"/>
    </row>
    <row r="732" ht="15.75" customHeight="1" s="17">
      <c r="A732" s="5" t="n"/>
      <c r="B732" s="5" t="n"/>
      <c r="C732" s="5" t="n"/>
      <c r="D732" s="5" t="n"/>
      <c r="E732" s="5" t="n"/>
      <c r="F732" s="5" t="n"/>
      <c r="G732" s="5" t="n"/>
    </row>
    <row r="733" ht="15.75" customHeight="1" s="17">
      <c r="A733" s="5" t="n"/>
      <c r="B733" s="5" t="n"/>
      <c r="C733" s="5" t="n"/>
      <c r="D733" s="5" t="n"/>
      <c r="E733" s="5" t="n"/>
      <c r="F733" s="5" t="n"/>
      <c r="G733" s="5" t="n"/>
    </row>
    <row r="734" ht="15.75" customHeight="1" s="17">
      <c r="A734" s="5" t="n"/>
      <c r="B734" s="5" t="n"/>
      <c r="C734" s="5" t="n"/>
      <c r="D734" s="5" t="n"/>
      <c r="E734" s="5" t="n"/>
      <c r="F734" s="5" t="n"/>
      <c r="G734" s="5" t="n"/>
    </row>
    <row r="735" ht="15.75" customHeight="1" s="17">
      <c r="A735" s="5" t="n"/>
      <c r="B735" s="5" t="n"/>
      <c r="C735" s="5" t="n"/>
      <c r="D735" s="5" t="n"/>
      <c r="E735" s="5" t="n"/>
      <c r="F735" s="5" t="n"/>
      <c r="G735" s="5" t="n"/>
    </row>
    <row r="736" ht="15.75" customHeight="1" s="17">
      <c r="A736" s="5" t="n"/>
      <c r="B736" s="5" t="n"/>
      <c r="C736" s="5" t="n"/>
      <c r="D736" s="5" t="n"/>
      <c r="E736" s="5" t="n"/>
      <c r="F736" s="5" t="n"/>
      <c r="G736" s="5" t="n"/>
    </row>
    <row r="737" ht="15.75" customHeight="1" s="17">
      <c r="A737" s="5" t="n"/>
      <c r="B737" s="5" t="n"/>
      <c r="C737" s="5" t="n"/>
      <c r="D737" s="5" t="n"/>
      <c r="E737" s="5" t="n"/>
      <c r="F737" s="5" t="n"/>
      <c r="G737" s="5" t="n"/>
    </row>
    <row r="738" ht="15.75" customHeight="1" s="17">
      <c r="A738" s="5" t="n"/>
      <c r="B738" s="5" t="n"/>
      <c r="C738" s="5" t="n"/>
      <c r="D738" s="5" t="n"/>
      <c r="E738" s="5" t="n"/>
      <c r="F738" s="5" t="n"/>
      <c r="G738" s="5" t="n"/>
    </row>
    <row r="739" ht="15.75" customHeight="1" s="17">
      <c r="A739" s="5" t="n"/>
      <c r="B739" s="5" t="n"/>
      <c r="C739" s="5" t="n"/>
      <c r="D739" s="5" t="n"/>
      <c r="E739" s="5" t="n"/>
      <c r="F739" s="5" t="n"/>
      <c r="G739" s="5" t="n"/>
    </row>
    <row r="740" ht="15.75" customHeight="1" s="17">
      <c r="A740" s="5" t="n"/>
      <c r="B740" s="5" t="n"/>
      <c r="C740" s="5" t="n"/>
      <c r="D740" s="5" t="n"/>
      <c r="E740" s="5" t="n"/>
      <c r="F740" s="5" t="n"/>
      <c r="G740" s="5" t="n"/>
    </row>
    <row r="741" ht="15.75" customHeight="1" s="17">
      <c r="A741" s="5" t="n"/>
      <c r="B741" s="5" t="n"/>
      <c r="C741" s="5" t="n"/>
      <c r="D741" s="5" t="n"/>
      <c r="E741" s="5" t="n"/>
      <c r="F741" s="5" t="n"/>
      <c r="G741" s="5" t="n"/>
    </row>
    <row r="742" ht="15.75" customHeight="1" s="17">
      <c r="A742" s="5" t="n"/>
      <c r="B742" s="5" t="n"/>
      <c r="C742" s="5" t="n"/>
      <c r="D742" s="5" t="n"/>
      <c r="E742" s="5" t="n"/>
      <c r="F742" s="5" t="n"/>
      <c r="G742" s="5" t="n"/>
    </row>
    <row r="743" ht="15.75" customHeight="1" s="17">
      <c r="A743" s="5" t="n"/>
      <c r="B743" s="5" t="n"/>
      <c r="C743" s="5" t="n"/>
      <c r="D743" s="5" t="n"/>
      <c r="E743" s="5" t="n"/>
      <c r="F743" s="5" t="n"/>
      <c r="G743" s="5" t="n"/>
    </row>
    <row r="744" ht="15.75" customHeight="1" s="17">
      <c r="A744" s="5" t="n"/>
      <c r="B744" s="5" t="n"/>
      <c r="C744" s="5" t="n"/>
      <c r="D744" s="5" t="n"/>
      <c r="E744" s="5" t="n"/>
      <c r="F744" s="5" t="n"/>
      <c r="G744" s="5" t="n"/>
    </row>
    <row r="745" ht="15.75" customHeight="1" s="17">
      <c r="A745" s="5" t="n"/>
      <c r="B745" s="5" t="n"/>
      <c r="C745" s="5" t="n"/>
      <c r="D745" s="5" t="n"/>
      <c r="E745" s="5" t="n"/>
      <c r="F745" s="5" t="n"/>
      <c r="G745" s="5" t="n"/>
    </row>
    <row r="746" ht="15.75" customHeight="1" s="17">
      <c r="A746" s="5" t="n"/>
      <c r="B746" s="5" t="n"/>
      <c r="C746" s="5" t="n"/>
      <c r="D746" s="5" t="n"/>
      <c r="E746" s="5" t="n"/>
      <c r="F746" s="5" t="n"/>
      <c r="G746" s="5" t="n"/>
    </row>
    <row r="747" ht="15.75" customHeight="1" s="17">
      <c r="A747" s="5" t="n"/>
      <c r="B747" s="5" t="n"/>
      <c r="C747" s="5" t="n"/>
      <c r="D747" s="5" t="n"/>
      <c r="E747" s="5" t="n"/>
      <c r="F747" s="5" t="n"/>
      <c r="G747" s="5" t="n"/>
    </row>
    <row r="748" ht="15.75" customHeight="1" s="17">
      <c r="A748" s="5" t="n"/>
      <c r="B748" s="5" t="n"/>
      <c r="C748" s="5" t="n"/>
      <c r="D748" s="5" t="n"/>
      <c r="E748" s="5" t="n"/>
      <c r="F748" s="5" t="n"/>
      <c r="G748" s="5" t="n"/>
    </row>
    <row r="749" ht="15.75" customHeight="1" s="17">
      <c r="A749" s="5" t="n"/>
      <c r="B749" s="5" t="n"/>
      <c r="C749" s="5" t="n"/>
      <c r="D749" s="5" t="n"/>
      <c r="E749" s="5" t="n"/>
      <c r="F749" s="5" t="n"/>
      <c r="G749" s="5" t="n"/>
    </row>
    <row r="750" ht="15.75" customHeight="1" s="17">
      <c r="A750" s="5" t="n"/>
      <c r="B750" s="5" t="n"/>
      <c r="C750" s="5" t="n"/>
      <c r="D750" s="5" t="n"/>
      <c r="E750" s="5" t="n"/>
      <c r="F750" s="5" t="n"/>
      <c r="G750" s="5" t="n"/>
    </row>
    <row r="751" ht="15.75" customHeight="1" s="17">
      <c r="A751" s="5" t="n"/>
      <c r="B751" s="5" t="n"/>
      <c r="C751" s="5" t="n"/>
      <c r="D751" s="5" t="n"/>
      <c r="E751" s="5" t="n"/>
      <c r="F751" s="5" t="n"/>
      <c r="G751" s="5" t="n"/>
    </row>
    <row r="752" ht="15.75" customHeight="1" s="17">
      <c r="A752" s="5" t="n"/>
      <c r="B752" s="5" t="n"/>
      <c r="C752" s="5" t="n"/>
      <c r="D752" s="5" t="n"/>
      <c r="E752" s="5" t="n"/>
      <c r="F752" s="5" t="n"/>
      <c r="G752" s="5" t="n"/>
    </row>
    <row r="753" ht="15.75" customHeight="1" s="17">
      <c r="A753" s="5" t="n"/>
      <c r="B753" s="5" t="n"/>
      <c r="C753" s="5" t="n"/>
      <c r="D753" s="5" t="n"/>
      <c r="E753" s="5" t="n"/>
      <c r="F753" s="5" t="n"/>
      <c r="G753" s="5" t="n"/>
    </row>
    <row r="754" ht="15.75" customHeight="1" s="17">
      <c r="A754" s="5" t="n"/>
      <c r="B754" s="5" t="n"/>
      <c r="C754" s="5" t="n"/>
      <c r="D754" s="5" t="n"/>
      <c r="E754" s="5" t="n"/>
      <c r="F754" s="5" t="n"/>
      <c r="G754" s="5" t="n"/>
    </row>
    <row r="755" ht="15.75" customHeight="1" s="17">
      <c r="A755" s="5" t="n"/>
      <c r="B755" s="5" t="n"/>
      <c r="C755" s="5" t="n"/>
      <c r="D755" s="5" t="n"/>
      <c r="E755" s="5" t="n"/>
      <c r="F755" s="5" t="n"/>
      <c r="G755" s="5" t="n"/>
    </row>
    <row r="756" ht="15.75" customHeight="1" s="17">
      <c r="A756" s="5" t="n"/>
      <c r="B756" s="5" t="n"/>
      <c r="C756" s="5" t="n"/>
      <c r="D756" s="5" t="n"/>
      <c r="E756" s="5" t="n"/>
      <c r="F756" s="5" t="n"/>
      <c r="G756" s="5" t="n"/>
    </row>
    <row r="757" ht="15.75" customHeight="1" s="17">
      <c r="A757" s="5" t="n"/>
      <c r="B757" s="5" t="n"/>
      <c r="C757" s="5" t="n"/>
      <c r="D757" s="5" t="n"/>
      <c r="E757" s="5" t="n"/>
      <c r="F757" s="5" t="n"/>
      <c r="G757" s="5" t="n"/>
    </row>
    <row r="758" ht="15.75" customHeight="1" s="17">
      <c r="A758" s="5" t="n"/>
      <c r="B758" s="5" t="n"/>
      <c r="C758" s="5" t="n"/>
      <c r="D758" s="5" t="n"/>
      <c r="E758" s="5" t="n"/>
      <c r="F758" s="5" t="n"/>
      <c r="G758" s="5" t="n"/>
    </row>
    <row r="759" ht="15.75" customHeight="1" s="17">
      <c r="A759" s="5" t="n"/>
      <c r="B759" s="5" t="n"/>
      <c r="C759" s="5" t="n"/>
      <c r="D759" s="5" t="n"/>
      <c r="E759" s="5" t="n"/>
      <c r="F759" s="5" t="n"/>
      <c r="G759" s="5" t="n"/>
    </row>
    <row r="760" ht="15.75" customHeight="1" s="17">
      <c r="A760" s="5" t="n"/>
      <c r="B760" s="5" t="n"/>
      <c r="C760" s="5" t="n"/>
      <c r="D760" s="5" t="n"/>
      <c r="E760" s="5" t="n"/>
      <c r="F760" s="5" t="n"/>
      <c r="G760" s="5" t="n"/>
    </row>
    <row r="761" ht="15.75" customHeight="1" s="17">
      <c r="A761" s="5" t="n"/>
      <c r="B761" s="5" t="n"/>
      <c r="C761" s="5" t="n"/>
      <c r="D761" s="5" t="n"/>
      <c r="E761" s="5" t="n"/>
      <c r="F761" s="5" t="n"/>
      <c r="G761" s="5" t="n"/>
    </row>
    <row r="762" ht="15.75" customHeight="1" s="17">
      <c r="A762" s="5" t="n"/>
      <c r="B762" s="5" t="n"/>
      <c r="C762" s="5" t="n"/>
      <c r="D762" s="5" t="n"/>
      <c r="E762" s="5" t="n"/>
      <c r="F762" s="5" t="n"/>
      <c r="G762" s="5" t="n"/>
    </row>
    <row r="763" ht="15.75" customHeight="1" s="17">
      <c r="A763" s="5" t="n"/>
      <c r="B763" s="5" t="n"/>
      <c r="C763" s="5" t="n"/>
      <c r="D763" s="5" t="n"/>
      <c r="E763" s="5" t="n"/>
      <c r="F763" s="5" t="n"/>
      <c r="G763" s="5" t="n"/>
    </row>
    <row r="764" ht="15.75" customHeight="1" s="17">
      <c r="A764" s="5" t="n"/>
      <c r="B764" s="5" t="n"/>
      <c r="C764" s="5" t="n"/>
      <c r="D764" s="5" t="n"/>
      <c r="E764" s="5" t="n"/>
      <c r="F764" s="5" t="n"/>
      <c r="G764" s="5" t="n"/>
    </row>
    <row r="765" ht="15.75" customHeight="1" s="17">
      <c r="A765" s="5" t="n"/>
      <c r="B765" s="5" t="n"/>
      <c r="C765" s="5" t="n"/>
      <c r="D765" s="5" t="n"/>
      <c r="E765" s="5" t="n"/>
      <c r="F765" s="5" t="n"/>
      <c r="G765" s="5" t="n"/>
    </row>
    <row r="766" ht="15.75" customHeight="1" s="17">
      <c r="A766" s="5" t="n"/>
      <c r="B766" s="5" t="n"/>
      <c r="C766" s="5" t="n"/>
      <c r="D766" s="5" t="n"/>
      <c r="E766" s="5" t="n"/>
      <c r="F766" s="5" t="n"/>
      <c r="G766" s="5" t="n"/>
    </row>
    <row r="767" ht="15.75" customHeight="1" s="17">
      <c r="A767" s="5" t="n"/>
      <c r="B767" s="5" t="n"/>
      <c r="C767" s="5" t="n"/>
      <c r="D767" s="5" t="n"/>
      <c r="E767" s="5" t="n"/>
      <c r="F767" s="5" t="n"/>
      <c r="G767" s="5" t="n"/>
    </row>
    <row r="768" ht="15.75" customHeight="1" s="17">
      <c r="A768" s="5" t="n"/>
      <c r="B768" s="5" t="n"/>
      <c r="C768" s="5" t="n"/>
      <c r="D768" s="5" t="n"/>
      <c r="E768" s="5" t="n"/>
      <c r="F768" s="5" t="n"/>
      <c r="G768" s="5" t="n"/>
    </row>
    <row r="769" ht="15.75" customHeight="1" s="17">
      <c r="A769" s="5" t="n"/>
      <c r="B769" s="5" t="n"/>
      <c r="C769" s="5" t="n"/>
      <c r="D769" s="5" t="n"/>
      <c r="E769" s="5" t="n"/>
      <c r="F769" s="5" t="n"/>
      <c r="G769" s="5" t="n"/>
    </row>
    <row r="770" ht="15.75" customHeight="1" s="17">
      <c r="A770" s="5" t="n"/>
      <c r="B770" s="5" t="n"/>
      <c r="C770" s="5" t="n"/>
      <c r="D770" s="5" t="n"/>
      <c r="E770" s="5" t="n"/>
      <c r="F770" s="5" t="n"/>
      <c r="G770" s="5" t="n"/>
    </row>
    <row r="771" ht="15.75" customHeight="1" s="17">
      <c r="A771" s="5" t="n"/>
      <c r="B771" s="5" t="n"/>
      <c r="C771" s="5" t="n"/>
      <c r="D771" s="5" t="n"/>
      <c r="E771" s="5" t="n"/>
      <c r="F771" s="5" t="n"/>
      <c r="G771" s="5" t="n"/>
    </row>
    <row r="772" ht="15.75" customHeight="1" s="17">
      <c r="A772" s="5" t="n"/>
      <c r="B772" s="5" t="n"/>
      <c r="C772" s="5" t="n"/>
      <c r="D772" s="5" t="n"/>
      <c r="E772" s="5" t="n"/>
      <c r="F772" s="5" t="n"/>
      <c r="G772" s="5" t="n"/>
    </row>
    <row r="773" ht="15.75" customHeight="1" s="17">
      <c r="A773" s="5" t="n"/>
      <c r="B773" s="5" t="n"/>
      <c r="C773" s="5" t="n"/>
      <c r="D773" s="5" t="n"/>
      <c r="E773" s="5" t="n"/>
      <c r="F773" s="5" t="n"/>
      <c r="G773" s="5" t="n"/>
    </row>
    <row r="774" ht="15.75" customHeight="1" s="17">
      <c r="A774" s="5" t="n"/>
      <c r="B774" s="5" t="n"/>
      <c r="C774" s="5" t="n"/>
      <c r="D774" s="5" t="n"/>
      <c r="E774" s="5" t="n"/>
      <c r="F774" s="5" t="n"/>
      <c r="G774" s="5" t="n"/>
    </row>
    <row r="775" ht="15.75" customHeight="1" s="17">
      <c r="A775" s="5" t="n"/>
      <c r="B775" s="5" t="n"/>
      <c r="C775" s="5" t="n"/>
      <c r="D775" s="5" t="n"/>
      <c r="E775" s="5" t="n"/>
      <c r="F775" s="5" t="n"/>
      <c r="G775" s="5" t="n"/>
    </row>
    <row r="776" ht="15.75" customHeight="1" s="17">
      <c r="A776" s="5" t="n"/>
      <c r="B776" s="5" t="n"/>
      <c r="C776" s="5" t="n"/>
      <c r="D776" s="5" t="n"/>
      <c r="E776" s="5" t="n"/>
      <c r="F776" s="5" t="n"/>
      <c r="G776" s="5" t="n"/>
    </row>
    <row r="777" ht="15.75" customHeight="1" s="17">
      <c r="A777" s="5" t="n"/>
      <c r="B777" s="5" t="n"/>
      <c r="C777" s="5" t="n"/>
      <c r="D777" s="5" t="n"/>
      <c r="E777" s="5" t="n"/>
      <c r="F777" s="5" t="n"/>
      <c r="G777" s="5" t="n"/>
    </row>
    <row r="778" ht="15.75" customHeight="1" s="17">
      <c r="A778" s="5" t="n"/>
      <c r="B778" s="5" t="n"/>
      <c r="C778" s="5" t="n"/>
      <c r="D778" s="5" t="n"/>
      <c r="E778" s="5" t="n"/>
      <c r="F778" s="5" t="n"/>
      <c r="G778" s="5" t="n"/>
    </row>
    <row r="779" ht="15.75" customHeight="1" s="17">
      <c r="A779" s="5" t="n"/>
      <c r="B779" s="5" t="n"/>
      <c r="C779" s="5" t="n"/>
      <c r="D779" s="5" t="n"/>
      <c r="E779" s="5" t="n"/>
      <c r="F779" s="5" t="n"/>
      <c r="G779" s="5" t="n"/>
    </row>
    <row r="780" ht="15.75" customHeight="1" s="17">
      <c r="A780" s="5" t="n"/>
      <c r="B780" s="5" t="n"/>
      <c r="C780" s="5" t="n"/>
      <c r="D780" s="5" t="n"/>
      <c r="E780" s="5" t="n"/>
      <c r="F780" s="5" t="n"/>
      <c r="G780" s="5" t="n"/>
    </row>
    <row r="781" ht="15.75" customHeight="1" s="17">
      <c r="A781" s="5" t="n"/>
      <c r="B781" s="5" t="n"/>
      <c r="C781" s="5" t="n"/>
      <c r="D781" s="5" t="n"/>
      <c r="E781" s="5" t="n"/>
      <c r="F781" s="5" t="n"/>
      <c r="G781" s="5" t="n"/>
    </row>
    <row r="782" ht="15.75" customHeight="1" s="17">
      <c r="A782" s="5" t="n"/>
      <c r="B782" s="5" t="n"/>
      <c r="C782" s="5" t="n"/>
      <c r="D782" s="5" t="n"/>
      <c r="E782" s="5" t="n"/>
      <c r="F782" s="5" t="n"/>
      <c r="G782" s="5" t="n"/>
    </row>
    <row r="783" ht="15.75" customHeight="1" s="17">
      <c r="A783" s="5" t="n"/>
      <c r="B783" s="5" t="n"/>
      <c r="C783" s="5" t="n"/>
      <c r="D783" s="5" t="n"/>
      <c r="E783" s="5" t="n"/>
      <c r="F783" s="5" t="n"/>
      <c r="G783" s="5" t="n"/>
    </row>
    <row r="784" ht="15.75" customHeight="1" s="17">
      <c r="A784" s="5" t="n"/>
      <c r="B784" s="5" t="n"/>
      <c r="C784" s="5" t="n"/>
      <c r="D784" s="5" t="n"/>
      <c r="E784" s="5" t="n"/>
      <c r="F784" s="5" t="n"/>
      <c r="G784" s="5" t="n"/>
    </row>
    <row r="785" ht="15.75" customHeight="1" s="17">
      <c r="A785" s="5" t="n"/>
      <c r="B785" s="5" t="n"/>
      <c r="C785" s="5" t="n"/>
      <c r="D785" s="5" t="n"/>
      <c r="E785" s="5" t="n"/>
      <c r="F785" s="5" t="n"/>
      <c r="G785" s="5" t="n"/>
    </row>
    <row r="786" ht="15.75" customHeight="1" s="17">
      <c r="A786" s="5" t="n"/>
      <c r="B786" s="5" t="n"/>
      <c r="C786" s="5" t="n"/>
      <c r="D786" s="5" t="n"/>
      <c r="E786" s="5" t="n"/>
      <c r="F786" s="5" t="n"/>
      <c r="G786" s="5" t="n"/>
    </row>
    <row r="787" ht="15.75" customHeight="1" s="17">
      <c r="A787" s="5" t="n"/>
      <c r="B787" s="5" t="n"/>
      <c r="C787" s="5" t="n"/>
      <c r="D787" s="5" t="n"/>
      <c r="E787" s="5" t="n"/>
      <c r="F787" s="5" t="n"/>
      <c r="G787" s="5" t="n"/>
    </row>
    <row r="788" ht="15.75" customHeight="1" s="17">
      <c r="A788" s="5" t="n"/>
      <c r="B788" s="5" t="n"/>
      <c r="C788" s="5" t="n"/>
      <c r="D788" s="5" t="n"/>
      <c r="E788" s="5" t="n"/>
      <c r="F788" s="5" t="n"/>
      <c r="G788" s="5" t="n"/>
    </row>
    <row r="789" ht="15.75" customHeight="1" s="17">
      <c r="A789" s="5" t="n"/>
      <c r="B789" s="5" t="n"/>
      <c r="C789" s="5" t="n"/>
      <c r="D789" s="5" t="n"/>
      <c r="E789" s="5" t="n"/>
      <c r="F789" s="5" t="n"/>
      <c r="G789" s="5" t="n"/>
    </row>
    <row r="790" ht="15.75" customHeight="1" s="17">
      <c r="A790" s="5" t="n"/>
      <c r="B790" s="5" t="n"/>
      <c r="C790" s="5" t="n"/>
      <c r="D790" s="5" t="n"/>
      <c r="E790" s="5" t="n"/>
      <c r="F790" s="5" t="n"/>
      <c r="G790" s="5" t="n"/>
    </row>
    <row r="791" ht="15.75" customHeight="1" s="17">
      <c r="A791" s="5" t="n"/>
      <c r="B791" s="5" t="n"/>
      <c r="C791" s="5" t="n"/>
      <c r="D791" s="5" t="n"/>
      <c r="E791" s="5" t="n"/>
      <c r="F791" s="5" t="n"/>
      <c r="G791" s="5" t="n"/>
    </row>
    <row r="792" ht="15.75" customHeight="1" s="17">
      <c r="A792" s="5" t="n"/>
      <c r="B792" s="5" t="n"/>
      <c r="C792" s="5" t="n"/>
      <c r="D792" s="5" t="n"/>
      <c r="E792" s="5" t="n"/>
      <c r="F792" s="5" t="n"/>
      <c r="G792" s="5" t="n"/>
    </row>
    <row r="793" ht="15.75" customHeight="1" s="17">
      <c r="A793" s="5" t="n"/>
      <c r="B793" s="5" t="n"/>
      <c r="C793" s="5" t="n"/>
      <c r="D793" s="5" t="n"/>
      <c r="E793" s="5" t="n"/>
      <c r="F793" s="5" t="n"/>
      <c r="G793" s="5" t="n"/>
    </row>
    <row r="794" ht="15.75" customHeight="1" s="17">
      <c r="A794" s="5" t="n"/>
      <c r="B794" s="5" t="n"/>
      <c r="C794" s="5" t="n"/>
      <c r="D794" s="5" t="n"/>
      <c r="E794" s="5" t="n"/>
      <c r="F794" s="5" t="n"/>
      <c r="G794" s="5" t="n"/>
    </row>
    <row r="795" ht="15.75" customHeight="1" s="17">
      <c r="A795" s="5" t="n"/>
      <c r="B795" s="5" t="n"/>
      <c r="C795" s="5" t="n"/>
      <c r="D795" s="5" t="n"/>
      <c r="E795" s="5" t="n"/>
      <c r="F795" s="5" t="n"/>
      <c r="G795" s="5" t="n"/>
    </row>
    <row r="796" ht="15.75" customHeight="1" s="17">
      <c r="A796" s="5" t="n"/>
      <c r="B796" s="5" t="n"/>
      <c r="C796" s="5" t="n"/>
      <c r="D796" s="5" t="n"/>
      <c r="E796" s="5" t="n"/>
      <c r="F796" s="5" t="n"/>
      <c r="G796" s="5" t="n"/>
    </row>
    <row r="797" ht="15.75" customHeight="1" s="17">
      <c r="A797" s="5" t="n"/>
      <c r="B797" s="5" t="n"/>
      <c r="C797" s="5" t="n"/>
      <c r="D797" s="5" t="n"/>
      <c r="E797" s="5" t="n"/>
      <c r="F797" s="5" t="n"/>
      <c r="G797" s="5" t="n"/>
    </row>
    <row r="798" ht="15.75" customHeight="1" s="17">
      <c r="A798" s="5" t="n"/>
      <c r="B798" s="5" t="n"/>
      <c r="C798" s="5" t="n"/>
      <c r="D798" s="5" t="n"/>
      <c r="E798" s="5" t="n"/>
      <c r="F798" s="5" t="n"/>
      <c r="G798" s="5" t="n"/>
    </row>
    <row r="799" ht="15.75" customHeight="1" s="17">
      <c r="A799" s="5" t="n"/>
      <c r="B799" s="5" t="n"/>
      <c r="C799" s="5" t="n"/>
      <c r="D799" s="5" t="n"/>
      <c r="E799" s="5" t="n"/>
      <c r="F799" s="5" t="n"/>
      <c r="G799" s="5" t="n"/>
    </row>
    <row r="800" ht="15.75" customHeight="1" s="17">
      <c r="A800" s="5" t="n"/>
      <c r="B800" s="5" t="n"/>
      <c r="C800" s="5" t="n"/>
      <c r="D800" s="5" t="n"/>
      <c r="E800" s="5" t="n"/>
      <c r="F800" s="5" t="n"/>
      <c r="G800" s="5" t="n"/>
    </row>
    <row r="801" ht="15.75" customHeight="1" s="17">
      <c r="A801" s="5" t="n"/>
      <c r="B801" s="5" t="n"/>
      <c r="C801" s="5" t="n"/>
      <c r="D801" s="5" t="n"/>
      <c r="E801" s="5" t="n"/>
      <c r="F801" s="5" t="n"/>
      <c r="G801" s="5" t="n"/>
    </row>
    <row r="802" ht="15.75" customHeight="1" s="17">
      <c r="A802" s="5" t="n"/>
      <c r="B802" s="5" t="n"/>
      <c r="C802" s="5" t="n"/>
      <c r="D802" s="5" t="n"/>
      <c r="E802" s="5" t="n"/>
      <c r="F802" s="5" t="n"/>
      <c r="G802" s="5" t="n"/>
    </row>
    <row r="803" ht="15.75" customHeight="1" s="17">
      <c r="A803" s="5" t="n"/>
      <c r="B803" s="5" t="n"/>
      <c r="C803" s="5" t="n"/>
      <c r="D803" s="5" t="n"/>
      <c r="E803" s="5" t="n"/>
      <c r="F803" s="5" t="n"/>
      <c r="G803" s="5" t="n"/>
    </row>
    <row r="804" ht="15.75" customHeight="1" s="17">
      <c r="A804" s="5" t="n"/>
      <c r="B804" s="5" t="n"/>
      <c r="C804" s="5" t="n"/>
      <c r="D804" s="5" t="n"/>
      <c r="E804" s="5" t="n"/>
      <c r="F804" s="5" t="n"/>
      <c r="G804" s="5" t="n"/>
    </row>
    <row r="805" ht="15.75" customHeight="1" s="17">
      <c r="A805" s="5" t="n"/>
      <c r="B805" s="5" t="n"/>
      <c r="C805" s="5" t="n"/>
      <c r="D805" s="5" t="n"/>
      <c r="E805" s="5" t="n"/>
      <c r="F805" s="5" t="n"/>
      <c r="G805" s="5" t="n"/>
    </row>
    <row r="806" ht="15.75" customHeight="1" s="17">
      <c r="A806" s="5" t="n"/>
      <c r="B806" s="5" t="n"/>
      <c r="C806" s="5" t="n"/>
      <c r="D806" s="5" t="n"/>
      <c r="E806" s="5" t="n"/>
      <c r="F806" s="5" t="n"/>
      <c r="G806" s="5" t="n"/>
    </row>
    <row r="807" ht="15.75" customHeight="1" s="17">
      <c r="A807" s="5" t="n"/>
      <c r="B807" s="5" t="n"/>
      <c r="C807" s="5" t="n"/>
      <c r="D807" s="5" t="n"/>
      <c r="E807" s="5" t="n"/>
      <c r="F807" s="5" t="n"/>
      <c r="G807" s="5" t="n"/>
    </row>
    <row r="808" ht="15.75" customHeight="1" s="17">
      <c r="A808" s="5" t="n"/>
      <c r="B808" s="5" t="n"/>
      <c r="C808" s="5" t="n"/>
      <c r="D808" s="5" t="n"/>
      <c r="E808" s="5" t="n"/>
      <c r="F808" s="5" t="n"/>
      <c r="G808" s="5" t="n"/>
    </row>
    <row r="809" ht="15.75" customHeight="1" s="17">
      <c r="A809" s="5" t="n"/>
      <c r="B809" s="5" t="n"/>
      <c r="C809" s="5" t="n"/>
      <c r="D809" s="5" t="n"/>
      <c r="E809" s="5" t="n"/>
      <c r="F809" s="5" t="n"/>
      <c r="G809" s="5" t="n"/>
    </row>
    <row r="810" ht="15.75" customHeight="1" s="17">
      <c r="A810" s="5" t="n"/>
      <c r="B810" s="5" t="n"/>
      <c r="C810" s="5" t="n"/>
      <c r="D810" s="5" t="n"/>
      <c r="E810" s="5" t="n"/>
      <c r="F810" s="5" t="n"/>
      <c r="G810" s="5" t="n"/>
    </row>
    <row r="811" ht="15.75" customHeight="1" s="17">
      <c r="A811" s="5" t="n"/>
      <c r="B811" s="5" t="n"/>
      <c r="C811" s="5" t="n"/>
      <c r="D811" s="5" t="n"/>
      <c r="E811" s="5" t="n"/>
      <c r="F811" s="5" t="n"/>
      <c r="G811" s="5" t="n"/>
    </row>
    <row r="812" ht="15.75" customHeight="1" s="17">
      <c r="A812" s="5" t="n"/>
      <c r="B812" s="5" t="n"/>
      <c r="C812" s="5" t="n"/>
      <c r="D812" s="5" t="n"/>
      <c r="E812" s="5" t="n"/>
      <c r="F812" s="5" t="n"/>
      <c r="G812" s="5" t="n"/>
    </row>
    <row r="813" ht="15.75" customHeight="1" s="17">
      <c r="A813" s="5" t="n"/>
      <c r="B813" s="5" t="n"/>
      <c r="C813" s="5" t="n"/>
      <c r="D813" s="5" t="n"/>
      <c r="E813" s="5" t="n"/>
      <c r="F813" s="5" t="n"/>
      <c r="G813" s="5" t="n"/>
    </row>
    <row r="814" ht="15.75" customHeight="1" s="17">
      <c r="A814" s="5" t="n"/>
      <c r="B814" s="5" t="n"/>
      <c r="C814" s="5" t="n"/>
      <c r="D814" s="5" t="n"/>
      <c r="E814" s="5" t="n"/>
      <c r="F814" s="5" t="n"/>
      <c r="G814" s="5" t="n"/>
    </row>
    <row r="815" ht="15.75" customHeight="1" s="17">
      <c r="A815" s="5" t="n"/>
      <c r="B815" s="5" t="n"/>
      <c r="C815" s="5" t="n"/>
      <c r="D815" s="5" t="n"/>
      <c r="E815" s="5" t="n"/>
      <c r="F815" s="5" t="n"/>
      <c r="G815" s="5" t="n"/>
    </row>
    <row r="816" ht="15.75" customHeight="1" s="17">
      <c r="A816" s="5" t="n"/>
      <c r="B816" s="5" t="n"/>
      <c r="C816" s="5" t="n"/>
      <c r="D816" s="5" t="n"/>
      <c r="E816" s="5" t="n"/>
      <c r="F816" s="5" t="n"/>
      <c r="G816" s="5" t="n"/>
    </row>
    <row r="817" ht="15.75" customHeight="1" s="17">
      <c r="A817" s="5" t="n"/>
      <c r="B817" s="5" t="n"/>
      <c r="C817" s="5" t="n"/>
      <c r="D817" s="5" t="n"/>
      <c r="E817" s="5" t="n"/>
      <c r="F817" s="5" t="n"/>
      <c r="G817" s="5" t="n"/>
    </row>
    <row r="818" ht="15.75" customHeight="1" s="17">
      <c r="A818" s="5" t="n"/>
      <c r="B818" s="5" t="n"/>
      <c r="C818" s="5" t="n"/>
      <c r="D818" s="5" t="n"/>
      <c r="E818" s="5" t="n"/>
      <c r="F818" s="5" t="n"/>
      <c r="G818" s="5" t="n"/>
    </row>
    <row r="819" ht="15.75" customHeight="1" s="17">
      <c r="A819" s="5" t="n"/>
      <c r="B819" s="5" t="n"/>
      <c r="C819" s="5" t="n"/>
      <c r="D819" s="5" t="n"/>
      <c r="E819" s="5" t="n"/>
      <c r="F819" s="5" t="n"/>
      <c r="G819" s="5" t="n"/>
    </row>
    <row r="820" ht="15.75" customHeight="1" s="17">
      <c r="A820" s="5" t="n"/>
      <c r="B820" s="5" t="n"/>
      <c r="C820" s="5" t="n"/>
      <c r="D820" s="5" t="n"/>
      <c r="E820" s="5" t="n"/>
      <c r="F820" s="5" t="n"/>
      <c r="G820" s="5" t="n"/>
    </row>
    <row r="821" ht="15.75" customHeight="1" s="17">
      <c r="A821" s="5" t="n"/>
      <c r="B821" s="5" t="n"/>
      <c r="C821" s="5" t="n"/>
      <c r="D821" s="5" t="n"/>
      <c r="E821" s="5" t="n"/>
      <c r="F821" s="5" t="n"/>
      <c r="G821" s="5" t="n"/>
    </row>
    <row r="822" ht="15.75" customHeight="1" s="17">
      <c r="A822" s="5" t="n"/>
      <c r="B822" s="5" t="n"/>
      <c r="C822" s="5" t="n"/>
      <c r="D822" s="5" t="n"/>
      <c r="E822" s="5" t="n"/>
      <c r="F822" s="5" t="n"/>
      <c r="G822" s="5" t="n"/>
    </row>
    <row r="823" ht="15.75" customHeight="1" s="17">
      <c r="A823" s="5" t="n"/>
      <c r="B823" s="5" t="n"/>
      <c r="C823" s="5" t="n"/>
      <c r="D823" s="5" t="n"/>
      <c r="E823" s="5" t="n"/>
      <c r="F823" s="5" t="n"/>
      <c r="G823" s="5" t="n"/>
    </row>
    <row r="824" ht="15.75" customHeight="1" s="17">
      <c r="A824" s="5" t="n"/>
      <c r="B824" s="5" t="n"/>
      <c r="C824" s="5" t="n"/>
      <c r="D824" s="5" t="n"/>
      <c r="E824" s="5" t="n"/>
      <c r="F824" s="5" t="n"/>
      <c r="G824" s="5" t="n"/>
    </row>
    <row r="825" ht="15.75" customHeight="1" s="17">
      <c r="A825" s="5" t="n"/>
      <c r="B825" s="5" t="n"/>
      <c r="C825" s="5" t="n"/>
      <c r="D825" s="5" t="n"/>
      <c r="E825" s="5" t="n"/>
      <c r="F825" s="5" t="n"/>
      <c r="G825" s="5" t="n"/>
    </row>
    <row r="826" ht="15.75" customHeight="1" s="17">
      <c r="A826" s="5" t="n"/>
      <c r="B826" s="5" t="n"/>
      <c r="C826" s="5" t="n"/>
      <c r="D826" s="5" t="n"/>
      <c r="E826" s="5" t="n"/>
      <c r="F826" s="5" t="n"/>
      <c r="G826" s="5" t="n"/>
    </row>
    <row r="827" ht="15.75" customHeight="1" s="17">
      <c r="A827" s="5" t="n"/>
      <c r="B827" s="5" t="n"/>
      <c r="C827" s="5" t="n"/>
      <c r="D827" s="5" t="n"/>
      <c r="E827" s="5" t="n"/>
      <c r="F827" s="5" t="n"/>
      <c r="G827" s="5" t="n"/>
    </row>
    <row r="828" ht="15.75" customHeight="1" s="17">
      <c r="A828" s="5" t="n"/>
      <c r="B828" s="5" t="n"/>
      <c r="C828" s="5" t="n"/>
      <c r="D828" s="5" t="n"/>
      <c r="E828" s="5" t="n"/>
      <c r="F828" s="5" t="n"/>
      <c r="G828" s="5" t="n"/>
    </row>
    <row r="829" ht="15.75" customHeight="1" s="17">
      <c r="A829" s="5" t="n"/>
      <c r="B829" s="5" t="n"/>
      <c r="C829" s="5" t="n"/>
      <c r="D829" s="5" t="n"/>
      <c r="E829" s="5" t="n"/>
      <c r="F829" s="5" t="n"/>
      <c r="G829" s="5" t="n"/>
    </row>
    <row r="830" ht="15.75" customHeight="1" s="17">
      <c r="A830" s="5" t="n"/>
      <c r="B830" s="5" t="n"/>
      <c r="C830" s="5" t="n"/>
      <c r="D830" s="5" t="n"/>
      <c r="E830" s="5" t="n"/>
      <c r="F830" s="5" t="n"/>
      <c r="G830" s="5" t="n"/>
    </row>
    <row r="831" ht="15.75" customHeight="1" s="17">
      <c r="A831" s="5" t="n"/>
      <c r="B831" s="5" t="n"/>
      <c r="C831" s="5" t="n"/>
      <c r="D831" s="5" t="n"/>
      <c r="E831" s="5" t="n"/>
      <c r="F831" s="5" t="n"/>
      <c r="G831" s="5" t="n"/>
    </row>
    <row r="832" ht="15.75" customHeight="1" s="17">
      <c r="A832" s="5" t="n"/>
      <c r="B832" s="5" t="n"/>
      <c r="C832" s="5" t="n"/>
      <c r="D832" s="5" t="n"/>
      <c r="E832" s="5" t="n"/>
      <c r="F832" s="5" t="n"/>
      <c r="G832" s="5" t="n"/>
    </row>
    <row r="833" ht="15.75" customHeight="1" s="17">
      <c r="A833" s="5" t="n"/>
      <c r="B833" s="5" t="n"/>
      <c r="C833" s="5" t="n"/>
      <c r="D833" s="5" t="n"/>
      <c r="E833" s="5" t="n"/>
      <c r="F833" s="5" t="n"/>
      <c r="G833" s="5" t="n"/>
    </row>
    <row r="834" ht="15.75" customHeight="1" s="17">
      <c r="A834" s="5" t="n"/>
      <c r="B834" s="5" t="n"/>
      <c r="C834" s="5" t="n"/>
      <c r="D834" s="5" t="n"/>
      <c r="E834" s="5" t="n"/>
      <c r="F834" s="5" t="n"/>
      <c r="G834" s="5" t="n"/>
    </row>
    <row r="835" ht="15.75" customHeight="1" s="17">
      <c r="A835" s="5" t="n"/>
      <c r="B835" s="5" t="n"/>
      <c r="C835" s="5" t="n"/>
      <c r="D835" s="5" t="n"/>
      <c r="E835" s="5" t="n"/>
      <c r="F835" s="5" t="n"/>
      <c r="G835" s="5" t="n"/>
    </row>
    <row r="836" ht="15.75" customHeight="1" s="17">
      <c r="A836" s="5" t="n"/>
      <c r="B836" s="5" t="n"/>
      <c r="C836" s="5" t="n"/>
      <c r="D836" s="5" t="n"/>
      <c r="E836" s="5" t="n"/>
      <c r="F836" s="5" t="n"/>
      <c r="G836" s="5" t="n"/>
    </row>
    <row r="837" ht="15.75" customHeight="1" s="17">
      <c r="A837" s="5" t="n"/>
      <c r="B837" s="5" t="n"/>
      <c r="C837" s="5" t="n"/>
      <c r="D837" s="5" t="n"/>
      <c r="E837" s="5" t="n"/>
      <c r="F837" s="5" t="n"/>
      <c r="G837" s="5" t="n"/>
    </row>
    <row r="838" ht="15.75" customHeight="1" s="17">
      <c r="A838" s="5" t="n"/>
      <c r="B838" s="5" t="n"/>
      <c r="C838" s="5" t="n"/>
      <c r="D838" s="5" t="n"/>
      <c r="E838" s="5" t="n"/>
      <c r="F838" s="5" t="n"/>
      <c r="G838" s="5" t="n"/>
    </row>
    <row r="839" ht="15.75" customHeight="1" s="17">
      <c r="A839" s="5" t="n"/>
      <c r="B839" s="5" t="n"/>
      <c r="C839" s="5" t="n"/>
      <c r="D839" s="5" t="n"/>
      <c r="E839" s="5" t="n"/>
      <c r="F839" s="5" t="n"/>
      <c r="G839" s="5" t="n"/>
    </row>
    <row r="840" ht="15.75" customHeight="1" s="17">
      <c r="A840" s="5" t="n"/>
      <c r="B840" s="5" t="n"/>
      <c r="C840" s="5" t="n"/>
      <c r="D840" s="5" t="n"/>
      <c r="E840" s="5" t="n"/>
      <c r="F840" s="5" t="n"/>
      <c r="G840" s="5" t="n"/>
    </row>
    <row r="841" ht="15.75" customHeight="1" s="17">
      <c r="A841" s="5" t="n"/>
      <c r="B841" s="5" t="n"/>
      <c r="C841" s="5" t="n"/>
      <c r="D841" s="5" t="n"/>
      <c r="E841" s="5" t="n"/>
      <c r="F841" s="5" t="n"/>
      <c r="G841" s="5" t="n"/>
    </row>
    <row r="842" ht="15.75" customHeight="1" s="17">
      <c r="A842" s="5" t="n"/>
      <c r="B842" s="5" t="n"/>
      <c r="C842" s="5" t="n"/>
      <c r="D842" s="5" t="n"/>
      <c r="E842" s="5" t="n"/>
      <c r="F842" s="5" t="n"/>
      <c r="G842" s="5" t="n"/>
    </row>
    <row r="843" ht="15.75" customHeight="1" s="17">
      <c r="A843" s="5" t="n"/>
      <c r="B843" s="5" t="n"/>
      <c r="C843" s="5" t="n"/>
      <c r="D843" s="5" t="n"/>
      <c r="E843" s="5" t="n"/>
      <c r="F843" s="5" t="n"/>
      <c r="G843" s="5" t="n"/>
    </row>
    <row r="844" ht="15.75" customHeight="1" s="17">
      <c r="A844" s="5" t="n"/>
      <c r="B844" s="5" t="n"/>
      <c r="C844" s="5" t="n"/>
      <c r="D844" s="5" t="n"/>
      <c r="E844" s="5" t="n"/>
      <c r="F844" s="5" t="n"/>
      <c r="G844" s="5" t="n"/>
    </row>
    <row r="845" ht="15.75" customHeight="1" s="17">
      <c r="A845" s="5" t="n"/>
      <c r="B845" s="5" t="n"/>
      <c r="C845" s="5" t="n"/>
      <c r="D845" s="5" t="n"/>
      <c r="E845" s="5" t="n"/>
      <c r="F845" s="5" t="n"/>
      <c r="G845" s="5" t="n"/>
    </row>
    <row r="846" ht="15.75" customHeight="1" s="17">
      <c r="A846" s="5" t="n"/>
      <c r="B846" s="5" t="n"/>
      <c r="C846" s="5" t="n"/>
      <c r="D846" s="5" t="n"/>
      <c r="E846" s="5" t="n"/>
      <c r="F846" s="5" t="n"/>
      <c r="G846" s="5" t="n"/>
    </row>
    <row r="847" ht="15.75" customHeight="1" s="17">
      <c r="A847" s="5" t="n"/>
      <c r="B847" s="5" t="n"/>
      <c r="C847" s="5" t="n"/>
      <c r="D847" s="5" t="n"/>
      <c r="E847" s="5" t="n"/>
      <c r="F847" s="5" t="n"/>
      <c r="G847" s="5" t="n"/>
    </row>
    <row r="848" ht="15.75" customHeight="1" s="17">
      <c r="A848" s="5" t="n"/>
      <c r="B848" s="5" t="n"/>
      <c r="C848" s="5" t="n"/>
      <c r="D848" s="5" t="n"/>
      <c r="E848" s="5" t="n"/>
      <c r="F848" s="5" t="n"/>
      <c r="G848" s="5" t="n"/>
    </row>
    <row r="849" ht="15.75" customHeight="1" s="17">
      <c r="A849" s="5" t="n"/>
      <c r="B849" s="5" t="n"/>
      <c r="C849" s="5" t="n"/>
      <c r="D849" s="5" t="n"/>
      <c r="E849" s="5" t="n"/>
      <c r="F849" s="5" t="n"/>
      <c r="G849" s="5" t="n"/>
    </row>
    <row r="850" ht="15.75" customHeight="1" s="17">
      <c r="A850" s="5" t="n"/>
      <c r="B850" s="5" t="n"/>
      <c r="C850" s="5" t="n"/>
      <c r="D850" s="5" t="n"/>
      <c r="E850" s="5" t="n"/>
      <c r="F850" s="5" t="n"/>
      <c r="G850" s="5" t="n"/>
    </row>
    <row r="851" ht="15.75" customHeight="1" s="17">
      <c r="A851" s="5" t="n"/>
      <c r="B851" s="5" t="n"/>
      <c r="C851" s="5" t="n"/>
      <c r="D851" s="5" t="n"/>
      <c r="E851" s="5" t="n"/>
      <c r="F851" s="5" t="n"/>
      <c r="G851" s="5" t="n"/>
    </row>
    <row r="852" ht="15.75" customHeight="1" s="17">
      <c r="A852" s="5" t="n"/>
      <c r="B852" s="5" t="n"/>
      <c r="C852" s="5" t="n"/>
      <c r="D852" s="5" t="n"/>
      <c r="E852" s="5" t="n"/>
      <c r="F852" s="5" t="n"/>
      <c r="G852" s="5" t="n"/>
    </row>
    <row r="853" ht="15.75" customHeight="1" s="17">
      <c r="A853" s="5" t="n"/>
      <c r="B853" s="5" t="n"/>
      <c r="C853" s="5" t="n"/>
      <c r="D853" s="5" t="n"/>
      <c r="E853" s="5" t="n"/>
      <c r="F853" s="5" t="n"/>
      <c r="G853" s="5" t="n"/>
    </row>
    <row r="854" ht="15.75" customHeight="1" s="17">
      <c r="A854" s="5" t="n"/>
      <c r="B854" s="5" t="n"/>
      <c r="C854" s="5" t="n"/>
      <c r="D854" s="5" t="n"/>
      <c r="E854" s="5" t="n"/>
      <c r="F854" s="5" t="n"/>
      <c r="G854" s="5" t="n"/>
    </row>
    <row r="855" ht="15.75" customHeight="1" s="17">
      <c r="A855" s="5" t="n"/>
      <c r="B855" s="5" t="n"/>
      <c r="C855" s="5" t="n"/>
      <c r="D855" s="5" t="n"/>
      <c r="E855" s="5" t="n"/>
      <c r="F855" s="5" t="n"/>
      <c r="G855" s="5" t="n"/>
    </row>
    <row r="856" ht="15.75" customHeight="1" s="17">
      <c r="A856" s="5" t="n"/>
      <c r="B856" s="5" t="n"/>
      <c r="C856" s="5" t="n"/>
      <c r="D856" s="5" t="n"/>
      <c r="E856" s="5" t="n"/>
      <c r="F856" s="5" t="n"/>
      <c r="G856" s="5" t="n"/>
    </row>
    <row r="857" ht="15.75" customHeight="1" s="17">
      <c r="A857" s="5" t="n"/>
      <c r="B857" s="5" t="n"/>
      <c r="C857" s="5" t="n"/>
      <c r="D857" s="5" t="n"/>
      <c r="E857" s="5" t="n"/>
      <c r="F857" s="5" t="n"/>
      <c r="G857" s="5" t="n"/>
    </row>
    <row r="858" ht="15.75" customHeight="1" s="17">
      <c r="A858" s="5" t="n"/>
      <c r="B858" s="5" t="n"/>
      <c r="C858" s="5" t="n"/>
      <c r="D858" s="5" t="n"/>
      <c r="E858" s="5" t="n"/>
      <c r="F858" s="5" t="n"/>
      <c r="G858" s="5" t="n"/>
    </row>
    <row r="859" ht="15.75" customHeight="1" s="17">
      <c r="A859" s="5" t="n"/>
      <c r="B859" s="5" t="n"/>
      <c r="C859" s="5" t="n"/>
      <c r="D859" s="5" t="n"/>
      <c r="E859" s="5" t="n"/>
      <c r="F859" s="5" t="n"/>
      <c r="G859" s="5" t="n"/>
    </row>
    <row r="860" ht="15.75" customHeight="1" s="17">
      <c r="A860" s="5" t="n"/>
      <c r="B860" s="5" t="n"/>
      <c r="C860" s="5" t="n"/>
      <c r="D860" s="5" t="n"/>
      <c r="E860" s="5" t="n"/>
      <c r="F860" s="5" t="n"/>
      <c r="G860" s="5" t="n"/>
    </row>
    <row r="861" ht="15.75" customHeight="1" s="17">
      <c r="A861" s="5" t="n"/>
      <c r="B861" s="5" t="n"/>
      <c r="C861" s="5" t="n"/>
      <c r="D861" s="5" t="n"/>
      <c r="E861" s="5" t="n"/>
      <c r="F861" s="5" t="n"/>
      <c r="G861" s="5" t="n"/>
    </row>
    <row r="862" ht="15.75" customHeight="1" s="17">
      <c r="A862" s="5" t="n"/>
      <c r="B862" s="5" t="n"/>
      <c r="C862" s="5" t="n"/>
      <c r="D862" s="5" t="n"/>
      <c r="E862" s="5" t="n"/>
      <c r="F862" s="5" t="n"/>
      <c r="G862" s="5" t="n"/>
    </row>
    <row r="863" ht="15.75" customHeight="1" s="17">
      <c r="A863" s="5" t="n"/>
      <c r="B863" s="5" t="n"/>
      <c r="C863" s="5" t="n"/>
      <c r="D863" s="5" t="n"/>
      <c r="E863" s="5" t="n"/>
      <c r="F863" s="5" t="n"/>
      <c r="G863" s="5" t="n"/>
    </row>
    <row r="864" ht="15.75" customHeight="1" s="17">
      <c r="A864" s="5" t="n"/>
      <c r="B864" s="5" t="n"/>
      <c r="C864" s="5" t="n"/>
      <c r="D864" s="5" t="n"/>
      <c r="E864" s="5" t="n"/>
      <c r="F864" s="5" t="n"/>
      <c r="G864" s="5" t="n"/>
    </row>
    <row r="865" ht="15.75" customHeight="1" s="17">
      <c r="A865" s="5" t="n"/>
      <c r="B865" s="5" t="n"/>
      <c r="C865" s="5" t="n"/>
      <c r="D865" s="5" t="n"/>
      <c r="E865" s="5" t="n"/>
      <c r="F865" s="5" t="n"/>
      <c r="G865" s="5" t="n"/>
    </row>
    <row r="866" ht="15.75" customHeight="1" s="17">
      <c r="A866" s="5" t="n"/>
      <c r="B866" s="5" t="n"/>
      <c r="C866" s="5" t="n"/>
      <c r="D866" s="5" t="n"/>
      <c r="E866" s="5" t="n"/>
      <c r="F866" s="5" t="n"/>
      <c r="G866" s="5" t="n"/>
    </row>
    <row r="867" ht="15.75" customHeight="1" s="17">
      <c r="A867" s="5" t="n"/>
      <c r="B867" s="5" t="n"/>
      <c r="C867" s="5" t="n"/>
      <c r="D867" s="5" t="n"/>
      <c r="E867" s="5" t="n"/>
      <c r="F867" s="5" t="n"/>
      <c r="G867" s="5" t="n"/>
    </row>
    <row r="868" ht="15.75" customHeight="1" s="17">
      <c r="A868" s="5" t="n"/>
      <c r="B868" s="5" t="n"/>
      <c r="C868" s="5" t="n"/>
      <c r="D868" s="5" t="n"/>
      <c r="E868" s="5" t="n"/>
      <c r="F868" s="5" t="n"/>
      <c r="G868" s="5" t="n"/>
    </row>
    <row r="869" ht="15.75" customHeight="1" s="17">
      <c r="A869" s="5" t="n"/>
      <c r="B869" s="5" t="n"/>
      <c r="C869" s="5" t="n"/>
      <c r="D869" s="5" t="n"/>
      <c r="E869" s="5" t="n"/>
      <c r="F869" s="5" t="n"/>
      <c r="G869" s="5" t="n"/>
    </row>
    <row r="870" ht="15.75" customHeight="1" s="17">
      <c r="A870" s="5" t="n"/>
      <c r="B870" s="5" t="n"/>
      <c r="C870" s="5" t="n"/>
      <c r="D870" s="5" t="n"/>
      <c r="E870" s="5" t="n"/>
      <c r="F870" s="5" t="n"/>
      <c r="G870" s="5" t="n"/>
    </row>
    <row r="871" ht="15.75" customHeight="1" s="17">
      <c r="A871" s="5" t="n"/>
      <c r="B871" s="5" t="n"/>
      <c r="C871" s="5" t="n"/>
      <c r="D871" s="5" t="n"/>
      <c r="E871" s="5" t="n"/>
      <c r="F871" s="5" t="n"/>
      <c r="G871" s="5" t="n"/>
    </row>
    <row r="872" ht="15.75" customHeight="1" s="17">
      <c r="A872" s="5" t="n"/>
      <c r="B872" s="5" t="n"/>
      <c r="C872" s="5" t="n"/>
      <c r="D872" s="5" t="n"/>
      <c r="E872" s="5" t="n"/>
      <c r="F872" s="5" t="n"/>
      <c r="G872" s="5" t="n"/>
    </row>
    <row r="873" ht="15.75" customHeight="1" s="17">
      <c r="A873" s="5" t="n"/>
      <c r="B873" s="5" t="n"/>
      <c r="C873" s="5" t="n"/>
      <c r="D873" s="5" t="n"/>
      <c r="E873" s="5" t="n"/>
      <c r="F873" s="5" t="n"/>
      <c r="G873" s="5" t="n"/>
    </row>
    <row r="874" ht="15.75" customHeight="1" s="17">
      <c r="A874" s="5" t="n"/>
      <c r="B874" s="5" t="n"/>
      <c r="C874" s="5" t="n"/>
      <c r="D874" s="5" t="n"/>
      <c r="E874" s="5" t="n"/>
      <c r="F874" s="5" t="n"/>
      <c r="G874" s="5" t="n"/>
    </row>
    <row r="875" ht="15.75" customHeight="1" s="17">
      <c r="A875" s="5" t="n"/>
      <c r="B875" s="5" t="n"/>
      <c r="C875" s="5" t="n"/>
      <c r="D875" s="5" t="n"/>
      <c r="E875" s="5" t="n"/>
      <c r="F875" s="5" t="n"/>
      <c r="G875" s="5" t="n"/>
    </row>
    <row r="876" ht="15.75" customHeight="1" s="17">
      <c r="A876" s="5" t="n"/>
      <c r="B876" s="5" t="n"/>
      <c r="C876" s="5" t="n"/>
      <c r="D876" s="5" t="n"/>
      <c r="E876" s="5" t="n"/>
      <c r="F876" s="5" t="n"/>
      <c r="G876" s="5" t="n"/>
    </row>
    <row r="877" ht="15.75" customHeight="1" s="17">
      <c r="A877" s="5" t="n"/>
      <c r="B877" s="5" t="n"/>
      <c r="C877" s="5" t="n"/>
      <c r="D877" s="5" t="n"/>
      <c r="E877" s="5" t="n"/>
      <c r="F877" s="5" t="n"/>
      <c r="G877" s="5" t="n"/>
    </row>
    <row r="878" ht="15.75" customHeight="1" s="17">
      <c r="A878" s="5" t="n"/>
      <c r="B878" s="5" t="n"/>
      <c r="C878" s="5" t="n"/>
      <c r="D878" s="5" t="n"/>
      <c r="E878" s="5" t="n"/>
      <c r="F878" s="5" t="n"/>
      <c r="G878" s="5" t="n"/>
    </row>
    <row r="879" ht="15.75" customHeight="1" s="17">
      <c r="A879" s="5" t="n"/>
      <c r="B879" s="5" t="n"/>
      <c r="C879" s="5" t="n"/>
      <c r="D879" s="5" t="n"/>
      <c r="E879" s="5" t="n"/>
      <c r="F879" s="5" t="n"/>
      <c r="G879" s="5" t="n"/>
    </row>
    <row r="880" ht="15.75" customHeight="1" s="17">
      <c r="A880" s="5" t="n"/>
      <c r="B880" s="5" t="n"/>
      <c r="C880" s="5" t="n"/>
      <c r="D880" s="5" t="n"/>
      <c r="E880" s="5" t="n"/>
      <c r="F880" s="5" t="n"/>
      <c r="G880" s="5" t="n"/>
    </row>
    <row r="881" ht="15.75" customHeight="1" s="17">
      <c r="A881" s="5" t="n"/>
      <c r="B881" s="5" t="n"/>
      <c r="C881" s="5" t="n"/>
      <c r="D881" s="5" t="n"/>
      <c r="E881" s="5" t="n"/>
      <c r="F881" s="5" t="n"/>
      <c r="G881" s="5" t="n"/>
    </row>
    <row r="882" ht="15.75" customHeight="1" s="17">
      <c r="A882" s="5" t="n"/>
      <c r="B882" s="5" t="n"/>
      <c r="C882" s="5" t="n"/>
      <c r="D882" s="5" t="n"/>
      <c r="E882" s="5" t="n"/>
      <c r="F882" s="5" t="n"/>
      <c r="G882" s="5" t="n"/>
    </row>
    <row r="883" ht="15.75" customHeight="1" s="17">
      <c r="A883" s="5" t="n"/>
      <c r="B883" s="5" t="n"/>
      <c r="C883" s="5" t="n"/>
      <c r="D883" s="5" t="n"/>
      <c r="E883" s="5" t="n"/>
      <c r="F883" s="5" t="n"/>
      <c r="G883" s="5" t="n"/>
    </row>
    <row r="884" ht="15.75" customHeight="1" s="17">
      <c r="A884" s="5" t="n"/>
      <c r="B884" s="5" t="n"/>
      <c r="C884" s="5" t="n"/>
      <c r="D884" s="5" t="n"/>
      <c r="E884" s="5" t="n"/>
      <c r="F884" s="5" t="n"/>
      <c r="G884" s="5" t="n"/>
    </row>
    <row r="885" ht="15.75" customHeight="1" s="17">
      <c r="A885" s="5" t="n"/>
      <c r="B885" s="5" t="n"/>
      <c r="C885" s="5" t="n"/>
      <c r="D885" s="5" t="n"/>
      <c r="E885" s="5" t="n"/>
      <c r="F885" s="5" t="n"/>
      <c r="G885" s="5" t="n"/>
    </row>
    <row r="886" ht="15.75" customHeight="1" s="17">
      <c r="A886" s="5" t="n"/>
      <c r="B886" s="5" t="n"/>
      <c r="C886" s="5" t="n"/>
      <c r="D886" s="5" t="n"/>
      <c r="E886" s="5" t="n"/>
      <c r="F886" s="5" t="n"/>
      <c r="G886" s="5" t="n"/>
    </row>
    <row r="887" ht="15.75" customHeight="1" s="17">
      <c r="A887" s="5" t="n"/>
      <c r="B887" s="5" t="n"/>
      <c r="C887" s="5" t="n"/>
      <c r="D887" s="5" t="n"/>
      <c r="E887" s="5" t="n"/>
      <c r="F887" s="5" t="n"/>
      <c r="G887" s="5" t="n"/>
    </row>
    <row r="888" ht="15.75" customHeight="1" s="17">
      <c r="A888" s="5" t="n"/>
      <c r="B888" s="5" t="n"/>
      <c r="C888" s="5" t="n"/>
      <c r="D888" s="5" t="n"/>
      <c r="E888" s="5" t="n"/>
      <c r="F888" s="5" t="n"/>
      <c r="G888" s="5" t="n"/>
    </row>
    <row r="889" ht="15.75" customHeight="1" s="17">
      <c r="A889" s="5" t="n"/>
      <c r="B889" s="5" t="n"/>
      <c r="C889" s="5" t="n"/>
      <c r="D889" s="5" t="n"/>
      <c r="E889" s="5" t="n"/>
      <c r="F889" s="5" t="n"/>
      <c r="G889" s="5" t="n"/>
    </row>
    <row r="890" ht="15.75" customHeight="1" s="17">
      <c r="A890" s="5" t="n"/>
      <c r="B890" s="5" t="n"/>
      <c r="C890" s="5" t="n"/>
      <c r="D890" s="5" t="n"/>
      <c r="E890" s="5" t="n"/>
      <c r="F890" s="5" t="n"/>
      <c r="G890" s="5" t="n"/>
    </row>
    <row r="891" ht="15.75" customHeight="1" s="17">
      <c r="A891" s="5" t="n"/>
      <c r="B891" s="5" t="n"/>
      <c r="C891" s="5" t="n"/>
      <c r="D891" s="5" t="n"/>
      <c r="E891" s="5" t="n"/>
      <c r="F891" s="5" t="n"/>
      <c r="G891" s="5" t="n"/>
    </row>
    <row r="892" ht="15.75" customHeight="1" s="17">
      <c r="A892" s="5" t="n"/>
      <c r="B892" s="5" t="n"/>
      <c r="C892" s="5" t="n"/>
      <c r="D892" s="5" t="n"/>
      <c r="E892" s="5" t="n"/>
      <c r="F892" s="5" t="n"/>
      <c r="G892" s="5" t="n"/>
    </row>
    <row r="893" ht="15.75" customHeight="1" s="17">
      <c r="A893" s="5" t="n"/>
      <c r="B893" s="5" t="n"/>
      <c r="C893" s="5" t="n"/>
      <c r="D893" s="5" t="n"/>
      <c r="E893" s="5" t="n"/>
      <c r="F893" s="5" t="n"/>
      <c r="G893" s="5" t="n"/>
    </row>
    <row r="894" ht="15.75" customHeight="1" s="17">
      <c r="A894" s="5" t="n"/>
      <c r="B894" s="5" t="n"/>
      <c r="C894" s="5" t="n"/>
      <c r="D894" s="5" t="n"/>
      <c r="E894" s="5" t="n"/>
      <c r="F894" s="5" t="n"/>
      <c r="G894" s="5" t="n"/>
    </row>
    <row r="895" ht="15.75" customHeight="1" s="17">
      <c r="A895" s="5" t="n"/>
      <c r="B895" s="5" t="n"/>
      <c r="C895" s="5" t="n"/>
      <c r="D895" s="5" t="n"/>
      <c r="E895" s="5" t="n"/>
      <c r="F895" s="5" t="n"/>
      <c r="G895" s="5" t="n"/>
    </row>
    <row r="896" ht="15.75" customHeight="1" s="17">
      <c r="A896" s="5" t="n"/>
      <c r="B896" s="5" t="n"/>
      <c r="C896" s="5" t="n"/>
      <c r="D896" s="5" t="n"/>
      <c r="E896" s="5" t="n"/>
      <c r="F896" s="5" t="n"/>
      <c r="G896" s="5" t="n"/>
    </row>
    <row r="897" ht="15.75" customHeight="1" s="17">
      <c r="A897" s="5" t="n"/>
      <c r="B897" s="5" t="n"/>
      <c r="C897" s="5" t="n"/>
      <c r="D897" s="5" t="n"/>
      <c r="E897" s="5" t="n"/>
      <c r="F897" s="5" t="n"/>
      <c r="G897" s="5" t="n"/>
    </row>
    <row r="898" ht="15.75" customHeight="1" s="17">
      <c r="A898" s="5" t="n"/>
      <c r="B898" s="5" t="n"/>
      <c r="C898" s="5" t="n"/>
      <c r="D898" s="5" t="n"/>
      <c r="E898" s="5" t="n"/>
      <c r="F898" s="5" t="n"/>
      <c r="G898" s="5" t="n"/>
    </row>
    <row r="899" ht="15.75" customHeight="1" s="17">
      <c r="A899" s="5" t="n"/>
      <c r="B899" s="5" t="n"/>
      <c r="C899" s="5" t="n"/>
      <c r="D899" s="5" t="n"/>
      <c r="E899" s="5" t="n"/>
      <c r="F899" s="5" t="n"/>
      <c r="G899" s="5" t="n"/>
    </row>
    <row r="900" ht="15.75" customHeight="1" s="17">
      <c r="A900" s="5" t="n"/>
      <c r="B900" s="5" t="n"/>
      <c r="C900" s="5" t="n"/>
      <c r="D900" s="5" t="n"/>
      <c r="E900" s="5" t="n"/>
      <c r="F900" s="5" t="n"/>
      <c r="G900" s="5" t="n"/>
    </row>
    <row r="901" ht="15.75" customHeight="1" s="17">
      <c r="A901" s="5" t="n"/>
      <c r="B901" s="5" t="n"/>
      <c r="C901" s="5" t="n"/>
      <c r="D901" s="5" t="n"/>
      <c r="E901" s="5" t="n"/>
      <c r="F901" s="5" t="n"/>
      <c r="G901" s="5" t="n"/>
    </row>
    <row r="902" ht="15.75" customHeight="1" s="17">
      <c r="A902" s="5" t="n"/>
      <c r="B902" s="5" t="n"/>
      <c r="C902" s="5" t="n"/>
      <c r="D902" s="5" t="n"/>
      <c r="E902" s="5" t="n"/>
      <c r="F902" s="5" t="n"/>
      <c r="G902" s="5" t="n"/>
    </row>
    <row r="903" ht="15.75" customHeight="1" s="17">
      <c r="A903" s="5" t="n"/>
      <c r="B903" s="5" t="n"/>
      <c r="C903" s="5" t="n"/>
      <c r="D903" s="5" t="n"/>
      <c r="E903" s="5" t="n"/>
      <c r="F903" s="5" t="n"/>
      <c r="G903" s="5" t="n"/>
    </row>
    <row r="904" ht="15.75" customHeight="1" s="17">
      <c r="A904" s="5" t="n"/>
      <c r="B904" s="5" t="n"/>
      <c r="C904" s="5" t="n"/>
      <c r="D904" s="5" t="n"/>
      <c r="E904" s="5" t="n"/>
      <c r="F904" s="5" t="n"/>
      <c r="G904" s="5" t="n"/>
    </row>
    <row r="905" ht="15.75" customHeight="1" s="17">
      <c r="A905" s="5" t="n"/>
      <c r="B905" s="5" t="n"/>
      <c r="C905" s="5" t="n"/>
      <c r="D905" s="5" t="n"/>
      <c r="E905" s="5" t="n"/>
      <c r="F905" s="5" t="n"/>
      <c r="G905" s="5" t="n"/>
    </row>
    <row r="906" ht="15.75" customHeight="1" s="17">
      <c r="A906" s="5" t="n"/>
      <c r="B906" s="5" t="n"/>
      <c r="C906" s="5" t="n"/>
      <c r="D906" s="5" t="n"/>
      <c r="E906" s="5" t="n"/>
      <c r="F906" s="5" t="n"/>
      <c r="G906" s="5" t="n"/>
    </row>
    <row r="907" ht="15.75" customHeight="1" s="17">
      <c r="A907" s="5" t="n"/>
      <c r="B907" s="5" t="n"/>
      <c r="C907" s="5" t="n"/>
      <c r="D907" s="5" t="n"/>
      <c r="E907" s="5" t="n"/>
      <c r="F907" s="5" t="n"/>
      <c r="G907" s="5" t="n"/>
    </row>
    <row r="908" ht="15.75" customHeight="1" s="17">
      <c r="A908" s="5" t="n"/>
      <c r="B908" s="5" t="n"/>
      <c r="C908" s="5" t="n"/>
      <c r="D908" s="5" t="n"/>
      <c r="E908" s="5" t="n"/>
      <c r="F908" s="5" t="n"/>
      <c r="G908" s="5" t="n"/>
    </row>
    <row r="909" ht="15.75" customHeight="1" s="17">
      <c r="A909" s="5" t="n"/>
      <c r="B909" s="5" t="n"/>
      <c r="C909" s="5" t="n"/>
      <c r="D909" s="5" t="n"/>
      <c r="E909" s="5" t="n"/>
      <c r="F909" s="5" t="n"/>
      <c r="G909" s="5" t="n"/>
    </row>
    <row r="910" ht="15.75" customHeight="1" s="17">
      <c r="A910" s="5" t="n"/>
      <c r="B910" s="5" t="n"/>
      <c r="C910" s="5" t="n"/>
      <c r="D910" s="5" t="n"/>
      <c r="E910" s="5" t="n"/>
      <c r="F910" s="5" t="n"/>
      <c r="G910" s="5" t="n"/>
    </row>
    <row r="911" ht="15.75" customHeight="1" s="17">
      <c r="A911" s="5" t="n"/>
      <c r="B911" s="5" t="n"/>
      <c r="C911" s="5" t="n"/>
      <c r="D911" s="5" t="n"/>
      <c r="E911" s="5" t="n"/>
      <c r="F911" s="5" t="n"/>
      <c r="G911" s="5" t="n"/>
    </row>
    <row r="912" ht="15.75" customHeight="1" s="17">
      <c r="A912" s="5" t="n"/>
      <c r="B912" s="5" t="n"/>
      <c r="C912" s="5" t="n"/>
      <c r="D912" s="5" t="n"/>
      <c r="E912" s="5" t="n"/>
      <c r="F912" s="5" t="n"/>
      <c r="G912" s="5" t="n"/>
    </row>
    <row r="913" ht="15.75" customHeight="1" s="17">
      <c r="A913" s="5" t="n"/>
      <c r="B913" s="5" t="n"/>
      <c r="C913" s="5" t="n"/>
      <c r="D913" s="5" t="n"/>
      <c r="E913" s="5" t="n"/>
      <c r="F913" s="5" t="n"/>
      <c r="G913" s="5" t="n"/>
    </row>
    <row r="914" ht="15.75" customHeight="1" s="17">
      <c r="A914" s="5" t="n"/>
      <c r="B914" s="5" t="n"/>
      <c r="C914" s="5" t="n"/>
      <c r="D914" s="5" t="n"/>
      <c r="E914" s="5" t="n"/>
      <c r="F914" s="5" t="n"/>
      <c r="G914" s="5" t="n"/>
    </row>
    <row r="915" ht="15.75" customHeight="1" s="17">
      <c r="A915" s="5" t="n"/>
      <c r="B915" s="5" t="n"/>
      <c r="C915" s="5" t="n"/>
      <c r="D915" s="5" t="n"/>
      <c r="E915" s="5" t="n"/>
      <c r="F915" s="5" t="n"/>
      <c r="G915" s="5" t="n"/>
    </row>
    <row r="916" ht="15.75" customHeight="1" s="17">
      <c r="A916" s="5" t="n"/>
      <c r="B916" s="5" t="n"/>
      <c r="C916" s="5" t="n"/>
      <c r="D916" s="5" t="n"/>
      <c r="E916" s="5" t="n"/>
      <c r="F916" s="5" t="n"/>
      <c r="G916" s="5" t="n"/>
    </row>
    <row r="917" ht="15.75" customHeight="1" s="17">
      <c r="A917" s="5" t="n"/>
      <c r="B917" s="5" t="n"/>
      <c r="C917" s="5" t="n"/>
      <c r="D917" s="5" t="n"/>
      <c r="E917" s="5" t="n"/>
      <c r="F917" s="5" t="n"/>
      <c r="G917" s="5" t="n"/>
    </row>
    <row r="918" ht="15.75" customHeight="1" s="17">
      <c r="A918" s="5" t="n"/>
      <c r="B918" s="5" t="n"/>
      <c r="C918" s="5" t="n"/>
      <c r="D918" s="5" t="n"/>
      <c r="E918" s="5" t="n"/>
      <c r="F918" s="5" t="n"/>
      <c r="G918" s="5" t="n"/>
    </row>
    <row r="919" ht="15.75" customHeight="1" s="17">
      <c r="A919" s="5" t="n"/>
      <c r="B919" s="5" t="n"/>
      <c r="C919" s="5" t="n"/>
      <c r="D919" s="5" t="n"/>
      <c r="E919" s="5" t="n"/>
      <c r="F919" s="5" t="n"/>
      <c r="G919" s="5" t="n"/>
    </row>
    <row r="920" ht="15.75" customHeight="1" s="17">
      <c r="A920" s="5" t="n"/>
      <c r="B920" s="5" t="n"/>
      <c r="C920" s="5" t="n"/>
      <c r="D920" s="5" t="n"/>
      <c r="E920" s="5" t="n"/>
      <c r="F920" s="5" t="n"/>
      <c r="G920" s="5" t="n"/>
    </row>
    <row r="921" ht="15.75" customHeight="1" s="17">
      <c r="A921" s="5" t="n"/>
      <c r="B921" s="5" t="n"/>
      <c r="C921" s="5" t="n"/>
      <c r="D921" s="5" t="n"/>
      <c r="E921" s="5" t="n"/>
      <c r="F921" s="5" t="n"/>
      <c r="G921" s="5" t="n"/>
    </row>
    <row r="922" ht="15.75" customHeight="1" s="17">
      <c r="A922" s="5" t="n"/>
      <c r="B922" s="5" t="n"/>
      <c r="C922" s="5" t="n"/>
      <c r="D922" s="5" t="n"/>
      <c r="E922" s="5" t="n"/>
      <c r="F922" s="5" t="n"/>
      <c r="G922" s="5" t="n"/>
    </row>
    <row r="923" ht="15.75" customHeight="1" s="17">
      <c r="A923" s="5" t="n"/>
      <c r="B923" s="5" t="n"/>
      <c r="C923" s="5" t="n"/>
      <c r="D923" s="5" t="n"/>
      <c r="E923" s="5" t="n"/>
      <c r="F923" s="5" t="n"/>
      <c r="G923" s="5" t="n"/>
    </row>
    <row r="924" ht="15.75" customHeight="1" s="17">
      <c r="A924" s="5" t="n"/>
      <c r="B924" s="5" t="n"/>
      <c r="C924" s="5" t="n"/>
      <c r="D924" s="5" t="n"/>
      <c r="E924" s="5" t="n"/>
      <c r="F924" s="5" t="n"/>
      <c r="G924" s="5" t="n"/>
    </row>
    <row r="925" ht="15.75" customHeight="1" s="17">
      <c r="A925" s="5" t="n"/>
      <c r="B925" s="5" t="n"/>
      <c r="C925" s="5" t="n"/>
      <c r="D925" s="5" t="n"/>
      <c r="E925" s="5" t="n"/>
      <c r="F925" s="5" t="n"/>
      <c r="G925" s="5" t="n"/>
    </row>
    <row r="926" ht="15.75" customHeight="1" s="17">
      <c r="A926" s="5" t="n"/>
      <c r="B926" s="5" t="n"/>
      <c r="C926" s="5" t="n"/>
      <c r="D926" s="5" t="n"/>
      <c r="E926" s="5" t="n"/>
      <c r="F926" s="5" t="n"/>
      <c r="G926" s="5" t="n"/>
    </row>
    <row r="927" ht="15.75" customHeight="1" s="17">
      <c r="A927" s="5" t="n"/>
      <c r="B927" s="5" t="n"/>
      <c r="C927" s="5" t="n"/>
      <c r="D927" s="5" t="n"/>
      <c r="E927" s="5" t="n"/>
      <c r="F927" s="5" t="n"/>
      <c r="G927" s="5" t="n"/>
    </row>
    <row r="928" ht="15.75" customHeight="1" s="17">
      <c r="A928" s="5" t="n"/>
      <c r="B928" s="5" t="n"/>
      <c r="C928" s="5" t="n"/>
      <c r="D928" s="5" t="n"/>
      <c r="E928" s="5" t="n"/>
      <c r="F928" s="5" t="n"/>
      <c r="G928" s="5" t="n"/>
    </row>
    <row r="929" ht="15.75" customHeight="1" s="17">
      <c r="A929" s="5" t="n"/>
      <c r="B929" s="5" t="n"/>
      <c r="C929" s="5" t="n"/>
      <c r="D929" s="5" t="n"/>
      <c r="E929" s="5" t="n"/>
      <c r="F929" s="5" t="n"/>
      <c r="G929" s="5" t="n"/>
    </row>
    <row r="930" ht="15.75" customHeight="1" s="17">
      <c r="A930" s="5" t="n"/>
      <c r="B930" s="5" t="n"/>
      <c r="C930" s="5" t="n"/>
      <c r="D930" s="5" t="n"/>
      <c r="E930" s="5" t="n"/>
      <c r="F930" s="5" t="n"/>
      <c r="G930" s="5" t="n"/>
    </row>
    <row r="931" ht="15.75" customHeight="1" s="17">
      <c r="A931" s="5" t="n"/>
      <c r="B931" s="5" t="n"/>
      <c r="C931" s="5" t="n"/>
      <c r="D931" s="5" t="n"/>
      <c r="E931" s="5" t="n"/>
      <c r="F931" s="5" t="n"/>
      <c r="G931" s="5" t="n"/>
    </row>
    <row r="932" ht="15.75" customHeight="1" s="17">
      <c r="A932" s="5" t="n"/>
      <c r="B932" s="5" t="n"/>
      <c r="C932" s="5" t="n"/>
      <c r="D932" s="5" t="n"/>
      <c r="E932" s="5" t="n"/>
      <c r="F932" s="5" t="n"/>
      <c r="G932" s="5" t="n"/>
    </row>
    <row r="933" ht="15.75" customHeight="1" s="17">
      <c r="A933" s="5" t="n"/>
      <c r="B933" s="5" t="n"/>
      <c r="C933" s="5" t="n"/>
      <c r="D933" s="5" t="n"/>
      <c r="E933" s="5" t="n"/>
      <c r="F933" s="5" t="n"/>
      <c r="G933" s="5" t="n"/>
    </row>
    <row r="934" ht="15.75" customHeight="1" s="17">
      <c r="A934" s="5" t="n"/>
      <c r="B934" s="5" t="n"/>
      <c r="C934" s="5" t="n"/>
      <c r="D934" s="5" t="n"/>
      <c r="E934" s="5" t="n"/>
      <c r="F934" s="5" t="n"/>
      <c r="G934" s="5" t="n"/>
    </row>
    <row r="935" ht="15.75" customHeight="1" s="17">
      <c r="A935" s="5" t="n"/>
      <c r="B935" s="5" t="n"/>
      <c r="C935" s="5" t="n"/>
      <c r="D935" s="5" t="n"/>
      <c r="E935" s="5" t="n"/>
      <c r="F935" s="5" t="n"/>
      <c r="G935" s="5" t="n"/>
    </row>
    <row r="936" ht="15.75" customHeight="1" s="17">
      <c r="A936" s="5" t="n"/>
      <c r="B936" s="5" t="n"/>
      <c r="C936" s="5" t="n"/>
      <c r="D936" s="5" t="n"/>
      <c r="E936" s="5" t="n"/>
      <c r="F936" s="5" t="n"/>
      <c r="G936" s="5" t="n"/>
    </row>
    <row r="937" ht="15.75" customHeight="1" s="17">
      <c r="A937" s="5" t="n"/>
      <c r="B937" s="5" t="n"/>
      <c r="C937" s="5" t="n"/>
      <c r="D937" s="5" t="n"/>
      <c r="E937" s="5" t="n"/>
      <c r="F937" s="5" t="n"/>
      <c r="G937" s="5" t="n"/>
    </row>
    <row r="938" ht="15.75" customHeight="1" s="17">
      <c r="A938" s="5" t="n"/>
      <c r="B938" s="5" t="n"/>
      <c r="C938" s="5" t="n"/>
      <c r="D938" s="5" t="n"/>
      <c r="E938" s="5" t="n"/>
      <c r="F938" s="5" t="n"/>
      <c r="G938" s="5" t="n"/>
    </row>
    <row r="939" ht="15.75" customHeight="1" s="17">
      <c r="A939" s="5" t="n"/>
      <c r="B939" s="5" t="n"/>
      <c r="C939" s="5" t="n"/>
      <c r="D939" s="5" t="n"/>
      <c r="E939" s="5" t="n"/>
      <c r="F939" s="5" t="n"/>
      <c r="G939" s="5" t="n"/>
    </row>
    <row r="940" ht="15.75" customHeight="1" s="17">
      <c r="A940" s="5" t="n"/>
      <c r="B940" s="5" t="n"/>
      <c r="C940" s="5" t="n"/>
      <c r="D940" s="5" t="n"/>
      <c r="E940" s="5" t="n"/>
      <c r="F940" s="5" t="n"/>
      <c r="G940" s="5" t="n"/>
    </row>
    <row r="941" ht="15.75" customHeight="1" s="17">
      <c r="A941" s="5" t="n"/>
      <c r="B941" s="5" t="n"/>
      <c r="C941" s="5" t="n"/>
      <c r="D941" s="5" t="n"/>
      <c r="E941" s="5" t="n"/>
      <c r="F941" s="5" t="n"/>
      <c r="G941" s="5" t="n"/>
    </row>
    <row r="942" ht="15.75" customHeight="1" s="17">
      <c r="A942" s="5" t="n"/>
      <c r="B942" s="5" t="n"/>
      <c r="C942" s="5" t="n"/>
      <c r="D942" s="5" t="n"/>
      <c r="E942" s="5" t="n"/>
      <c r="F942" s="5" t="n"/>
      <c r="G942" s="5" t="n"/>
    </row>
    <row r="943" ht="15.75" customHeight="1" s="17">
      <c r="A943" s="5" t="n"/>
      <c r="B943" s="5" t="n"/>
      <c r="C943" s="5" t="n"/>
      <c r="D943" s="5" t="n"/>
      <c r="E943" s="5" t="n"/>
      <c r="F943" s="5" t="n"/>
      <c r="G943" s="5" t="n"/>
    </row>
    <row r="944" ht="15.75" customHeight="1" s="17">
      <c r="A944" s="5" t="n"/>
      <c r="B944" s="5" t="n"/>
      <c r="C944" s="5" t="n"/>
      <c r="D944" s="5" t="n"/>
      <c r="E944" s="5" t="n"/>
      <c r="F944" s="5" t="n"/>
      <c r="G944" s="5" t="n"/>
    </row>
    <row r="945" ht="15.75" customHeight="1" s="17">
      <c r="A945" s="5" t="n"/>
      <c r="B945" s="5" t="n"/>
      <c r="C945" s="5" t="n"/>
      <c r="D945" s="5" t="n"/>
      <c r="E945" s="5" t="n"/>
      <c r="F945" s="5" t="n"/>
      <c r="G945" s="5" t="n"/>
    </row>
    <row r="946" ht="15.75" customHeight="1" s="17">
      <c r="A946" s="5" t="n"/>
      <c r="B946" s="5" t="n"/>
      <c r="C946" s="5" t="n"/>
      <c r="D946" s="5" t="n"/>
      <c r="E946" s="5" t="n"/>
      <c r="F946" s="5" t="n"/>
      <c r="G946" s="5" t="n"/>
    </row>
    <row r="947" ht="15.75" customHeight="1" s="17">
      <c r="A947" s="5" t="n"/>
      <c r="B947" s="5" t="n"/>
      <c r="C947" s="5" t="n"/>
      <c r="D947" s="5" t="n"/>
      <c r="E947" s="5" t="n"/>
      <c r="F947" s="5" t="n"/>
      <c r="G947" s="5" t="n"/>
    </row>
    <row r="948" ht="15.75" customHeight="1" s="17">
      <c r="A948" s="5" t="n"/>
      <c r="B948" s="5" t="n"/>
      <c r="C948" s="5" t="n"/>
      <c r="D948" s="5" t="n"/>
      <c r="E948" s="5" t="n"/>
      <c r="F948" s="5" t="n"/>
      <c r="G948" s="5" t="n"/>
    </row>
    <row r="949" ht="15.75" customHeight="1" s="17">
      <c r="A949" s="5" t="n"/>
      <c r="B949" s="5" t="n"/>
      <c r="C949" s="5" t="n"/>
      <c r="D949" s="5" t="n"/>
      <c r="E949" s="5" t="n"/>
      <c r="F949" s="5" t="n"/>
      <c r="G949" s="5" t="n"/>
    </row>
    <row r="950" ht="15.75" customHeight="1" s="17">
      <c r="A950" s="5" t="n"/>
      <c r="B950" s="5" t="n"/>
      <c r="C950" s="5" t="n"/>
      <c r="D950" s="5" t="n"/>
      <c r="E950" s="5" t="n"/>
      <c r="F950" s="5" t="n"/>
      <c r="G950" s="5" t="n"/>
    </row>
    <row r="951" ht="15.75" customHeight="1" s="17">
      <c r="A951" s="5" t="n"/>
      <c r="B951" s="5" t="n"/>
      <c r="C951" s="5" t="n"/>
      <c r="D951" s="5" t="n"/>
      <c r="E951" s="5" t="n"/>
      <c r="F951" s="5" t="n"/>
      <c r="G951" s="5" t="n"/>
    </row>
    <row r="952" ht="15.75" customHeight="1" s="17">
      <c r="A952" s="5" t="n"/>
      <c r="B952" s="5" t="n"/>
      <c r="C952" s="5" t="n"/>
      <c r="D952" s="5" t="n"/>
      <c r="E952" s="5" t="n"/>
      <c r="F952" s="5" t="n"/>
      <c r="G952" s="5" t="n"/>
    </row>
    <row r="953" ht="15.75" customHeight="1" s="17">
      <c r="A953" s="5" t="n"/>
      <c r="B953" s="5" t="n"/>
      <c r="C953" s="5" t="n"/>
      <c r="D953" s="5" t="n"/>
      <c r="E953" s="5" t="n"/>
      <c r="F953" s="5" t="n"/>
      <c r="G953" s="5" t="n"/>
    </row>
    <row r="954" ht="15.75" customHeight="1" s="17">
      <c r="A954" s="5" t="n"/>
      <c r="B954" s="5" t="n"/>
      <c r="C954" s="5" t="n"/>
      <c r="D954" s="5" t="n"/>
      <c r="E954" s="5" t="n"/>
      <c r="F954" s="5" t="n"/>
      <c r="G954" s="5" t="n"/>
    </row>
    <row r="955" ht="15.75" customHeight="1" s="17">
      <c r="A955" s="5" t="n"/>
      <c r="B955" s="5" t="n"/>
      <c r="C955" s="5" t="n"/>
      <c r="D955" s="5" t="n"/>
      <c r="E955" s="5" t="n"/>
      <c r="F955" s="5" t="n"/>
      <c r="G955" s="5" t="n"/>
    </row>
    <row r="956" ht="15.75" customHeight="1" s="17">
      <c r="A956" s="5" t="n"/>
      <c r="B956" s="5" t="n"/>
      <c r="C956" s="5" t="n"/>
      <c r="D956" s="5" t="n"/>
      <c r="E956" s="5" t="n"/>
      <c r="F956" s="5" t="n"/>
      <c r="G956" s="5" t="n"/>
    </row>
    <row r="957" ht="15.75" customHeight="1" s="17">
      <c r="A957" s="5" t="n"/>
      <c r="B957" s="5" t="n"/>
      <c r="C957" s="5" t="n"/>
      <c r="D957" s="5" t="n"/>
      <c r="E957" s="5" t="n"/>
      <c r="F957" s="5" t="n"/>
      <c r="G957" s="5" t="n"/>
    </row>
    <row r="958" ht="15.75" customHeight="1" s="17">
      <c r="A958" s="5" t="n"/>
      <c r="B958" s="5" t="n"/>
      <c r="C958" s="5" t="n"/>
      <c r="D958" s="5" t="n"/>
      <c r="E958" s="5" t="n"/>
      <c r="F958" s="5" t="n"/>
      <c r="G958" s="5" t="n"/>
    </row>
    <row r="959" ht="15.75" customHeight="1" s="17">
      <c r="A959" s="5" t="n"/>
      <c r="B959" s="5" t="n"/>
      <c r="C959" s="5" t="n"/>
      <c r="D959" s="5" t="n"/>
      <c r="E959" s="5" t="n"/>
      <c r="F959" s="5" t="n"/>
      <c r="G959" s="5" t="n"/>
    </row>
    <row r="960" ht="15.75" customHeight="1" s="17">
      <c r="A960" s="5" t="n"/>
      <c r="B960" s="5" t="n"/>
      <c r="C960" s="5" t="n"/>
      <c r="D960" s="5" t="n"/>
      <c r="E960" s="5" t="n"/>
      <c r="F960" s="5" t="n"/>
      <c r="G960" s="5" t="n"/>
    </row>
    <row r="961" ht="15.75" customHeight="1" s="17">
      <c r="A961" s="5" t="n"/>
      <c r="B961" s="5" t="n"/>
      <c r="C961" s="5" t="n"/>
      <c r="D961" s="5" t="n"/>
      <c r="E961" s="5" t="n"/>
      <c r="F961" s="5" t="n"/>
      <c r="G961" s="5" t="n"/>
    </row>
    <row r="962" ht="15.75" customHeight="1" s="17">
      <c r="A962" s="5" t="n"/>
      <c r="B962" s="5" t="n"/>
      <c r="C962" s="5" t="n"/>
      <c r="D962" s="5" t="n"/>
      <c r="E962" s="5" t="n"/>
      <c r="F962" s="5" t="n"/>
      <c r="G962" s="5" t="n"/>
    </row>
    <row r="963" ht="15.75" customHeight="1" s="17">
      <c r="A963" s="5" t="n"/>
      <c r="B963" s="5" t="n"/>
      <c r="C963" s="5" t="n"/>
      <c r="D963" s="5" t="n"/>
      <c r="E963" s="5" t="n"/>
      <c r="F963" s="5" t="n"/>
      <c r="G963" s="5" t="n"/>
    </row>
    <row r="964" ht="15.75" customHeight="1" s="17">
      <c r="A964" s="5" t="n"/>
      <c r="B964" s="5" t="n"/>
      <c r="C964" s="5" t="n"/>
      <c r="D964" s="5" t="n"/>
      <c r="E964" s="5" t="n"/>
      <c r="F964" s="5" t="n"/>
      <c r="G964" s="5" t="n"/>
    </row>
    <row r="965" ht="15.75" customHeight="1" s="17">
      <c r="A965" s="5" t="n"/>
      <c r="B965" s="5" t="n"/>
      <c r="C965" s="5" t="n"/>
      <c r="D965" s="5" t="n"/>
      <c r="E965" s="5" t="n"/>
      <c r="F965" s="5" t="n"/>
      <c r="G965" s="5" t="n"/>
    </row>
    <row r="966" ht="15.75" customHeight="1" s="17">
      <c r="A966" s="5" t="n"/>
      <c r="B966" s="5" t="n"/>
      <c r="C966" s="5" t="n"/>
      <c r="D966" s="5" t="n"/>
      <c r="E966" s="5" t="n"/>
      <c r="F966" s="5" t="n"/>
      <c r="G966" s="5" t="n"/>
    </row>
    <row r="967" ht="15.75" customHeight="1" s="17">
      <c r="A967" s="5" t="n"/>
      <c r="B967" s="5" t="n"/>
      <c r="C967" s="5" t="n"/>
      <c r="D967" s="5" t="n"/>
      <c r="E967" s="5" t="n"/>
      <c r="F967" s="5" t="n"/>
      <c r="G967" s="5" t="n"/>
    </row>
    <row r="968" ht="15.75" customHeight="1" s="17">
      <c r="A968" s="5" t="n"/>
      <c r="B968" s="5" t="n"/>
      <c r="C968" s="5" t="n"/>
      <c r="D968" s="5" t="n"/>
      <c r="E968" s="5" t="n"/>
      <c r="F968" s="5" t="n"/>
      <c r="G968" s="5" t="n"/>
    </row>
    <row r="969" ht="15.75" customHeight="1" s="17">
      <c r="A969" s="5" t="n"/>
      <c r="B969" s="5" t="n"/>
      <c r="C969" s="5" t="n"/>
      <c r="D969" s="5" t="n"/>
      <c r="E969" s="5" t="n"/>
      <c r="F969" s="5" t="n"/>
      <c r="G969" s="5" t="n"/>
    </row>
    <row r="970" ht="15.75" customHeight="1" s="17">
      <c r="A970" s="5" t="n"/>
      <c r="B970" s="5" t="n"/>
      <c r="C970" s="5" t="n"/>
      <c r="D970" s="5" t="n"/>
      <c r="E970" s="5" t="n"/>
      <c r="F970" s="5" t="n"/>
      <c r="G970" s="5" t="n"/>
    </row>
    <row r="971" ht="15.75" customHeight="1" s="17">
      <c r="A971" s="5" t="n"/>
      <c r="B971" s="5" t="n"/>
      <c r="C971" s="5" t="n"/>
      <c r="D971" s="5" t="n"/>
      <c r="E971" s="5" t="n"/>
      <c r="F971" s="5" t="n"/>
      <c r="G971" s="5" t="n"/>
    </row>
    <row r="972" ht="15.75" customHeight="1" s="17">
      <c r="A972" s="5" t="n"/>
      <c r="B972" s="5" t="n"/>
      <c r="C972" s="5" t="n"/>
      <c r="D972" s="5" t="n"/>
      <c r="E972" s="5" t="n"/>
      <c r="F972" s="5" t="n"/>
      <c r="G972" s="5" t="n"/>
    </row>
    <row r="973" ht="15.75" customHeight="1" s="17">
      <c r="A973" s="5" t="n"/>
      <c r="B973" s="5" t="n"/>
      <c r="C973" s="5" t="n"/>
      <c r="D973" s="5" t="n"/>
      <c r="E973" s="5" t="n"/>
      <c r="F973" s="5" t="n"/>
      <c r="G973" s="5" t="n"/>
    </row>
    <row r="974" ht="15.75" customHeight="1" s="17">
      <c r="A974" s="5" t="n"/>
      <c r="B974" s="5" t="n"/>
      <c r="C974" s="5" t="n"/>
      <c r="D974" s="5" t="n"/>
      <c r="E974" s="5" t="n"/>
      <c r="F974" s="5" t="n"/>
      <c r="G974" s="5" t="n"/>
    </row>
    <row r="975" ht="15.75" customHeight="1" s="17">
      <c r="A975" s="5" t="n"/>
      <c r="B975" s="5" t="n"/>
      <c r="C975" s="5" t="n"/>
      <c r="D975" s="5" t="n"/>
      <c r="E975" s="5" t="n"/>
      <c r="F975" s="5" t="n"/>
      <c r="G975" s="5" t="n"/>
    </row>
    <row r="976" ht="15.75" customHeight="1" s="17">
      <c r="A976" s="5" t="n"/>
      <c r="B976" s="5" t="n"/>
      <c r="C976" s="5" t="n"/>
      <c r="D976" s="5" t="n"/>
      <c r="E976" s="5" t="n"/>
      <c r="F976" s="5" t="n"/>
      <c r="G976" s="5" t="n"/>
    </row>
    <row r="977" ht="15.75" customHeight="1" s="17">
      <c r="A977" s="5" t="n"/>
      <c r="B977" s="5" t="n"/>
      <c r="C977" s="5" t="n"/>
      <c r="D977" s="5" t="n"/>
      <c r="E977" s="5" t="n"/>
      <c r="F977" s="5" t="n"/>
      <c r="G977" s="5" t="n"/>
    </row>
    <row r="978" ht="15.75" customHeight="1" s="17">
      <c r="A978" s="5" t="n"/>
      <c r="B978" s="5" t="n"/>
      <c r="C978" s="5" t="n"/>
      <c r="D978" s="5" t="n"/>
      <c r="E978" s="5" t="n"/>
      <c r="F978" s="5" t="n"/>
      <c r="G978" s="5" t="n"/>
    </row>
    <row r="979" ht="15.75" customHeight="1" s="17">
      <c r="A979" s="5" t="n"/>
      <c r="B979" s="5" t="n"/>
      <c r="C979" s="5" t="n"/>
      <c r="D979" s="5" t="n"/>
      <c r="E979" s="5" t="n"/>
      <c r="F979" s="5" t="n"/>
      <c r="G979" s="5" t="n"/>
    </row>
    <row r="980" ht="15.75" customHeight="1" s="17">
      <c r="A980" s="5" t="n"/>
      <c r="B980" s="5" t="n"/>
      <c r="C980" s="5" t="n"/>
      <c r="D980" s="5" t="n"/>
      <c r="E980" s="5" t="n"/>
      <c r="F980" s="5" t="n"/>
      <c r="G980" s="5" t="n"/>
    </row>
    <row r="981" ht="15.75" customHeight="1" s="17">
      <c r="A981" s="5" t="n"/>
      <c r="B981" s="5" t="n"/>
      <c r="C981" s="5" t="n"/>
      <c r="D981" s="5" t="n"/>
      <c r="E981" s="5" t="n"/>
      <c r="F981" s="5" t="n"/>
      <c r="G981" s="5" t="n"/>
    </row>
    <row r="982" ht="15.75" customHeight="1" s="17">
      <c r="A982" s="5" t="n"/>
      <c r="B982" s="5" t="n"/>
      <c r="C982" s="5" t="n"/>
      <c r="D982" s="5" t="n"/>
      <c r="E982" s="5" t="n"/>
      <c r="F982" s="5" t="n"/>
      <c r="G982" s="5" t="n"/>
    </row>
    <row r="983" ht="15.75" customHeight="1" s="17">
      <c r="A983" s="5" t="n"/>
      <c r="B983" s="5" t="n"/>
      <c r="C983" s="5" t="n"/>
      <c r="D983" s="5" t="n"/>
      <c r="E983" s="5" t="n"/>
      <c r="F983" s="5" t="n"/>
      <c r="G983" s="5" t="n"/>
    </row>
    <row r="984" ht="15.75" customHeight="1" s="17">
      <c r="A984" s="5" t="n"/>
      <c r="B984" s="5" t="n"/>
      <c r="C984" s="5" t="n"/>
      <c r="D984" s="5" t="n"/>
      <c r="E984" s="5" t="n"/>
      <c r="F984" s="5" t="n"/>
      <c r="G984" s="5" t="n"/>
    </row>
    <row r="985" ht="15.75" customHeight="1" s="17">
      <c r="A985" s="5" t="n"/>
      <c r="B985" s="5" t="n"/>
      <c r="C985" s="5" t="n"/>
      <c r="D985" s="5" t="n"/>
      <c r="E985" s="5" t="n"/>
      <c r="F985" s="5" t="n"/>
      <c r="G985" s="5" t="n"/>
    </row>
    <row r="986" ht="15.75" customHeight="1" s="17">
      <c r="A986" s="5" t="n"/>
      <c r="B986" s="5" t="n"/>
      <c r="C986" s="5" t="n"/>
      <c r="D986" s="5" t="n"/>
      <c r="E986" s="5" t="n"/>
      <c r="F986" s="5" t="n"/>
      <c r="G986" s="5" t="n"/>
    </row>
    <row r="987" ht="15.75" customHeight="1" s="17">
      <c r="A987" s="5" t="n"/>
      <c r="B987" s="5" t="n"/>
      <c r="C987" s="5" t="n"/>
      <c r="D987" s="5" t="n"/>
      <c r="E987" s="5" t="n"/>
      <c r="F987" s="5" t="n"/>
      <c r="G987" s="5" t="n"/>
    </row>
    <row r="988" ht="15.75" customHeight="1" s="17">
      <c r="A988" s="5" t="n"/>
      <c r="B988" s="5" t="n"/>
      <c r="C988" s="5" t="n"/>
      <c r="D988" s="5" t="n"/>
      <c r="E988" s="5" t="n"/>
      <c r="F988" s="5" t="n"/>
      <c r="G988" s="5" t="n"/>
    </row>
    <row r="989" ht="15.75" customHeight="1" s="17">
      <c r="A989" s="5" t="n"/>
      <c r="B989" s="5" t="n"/>
      <c r="C989" s="5" t="n"/>
      <c r="D989" s="5" t="n"/>
      <c r="E989" s="5" t="n"/>
      <c r="F989" s="5" t="n"/>
      <c r="G989" s="5" t="n"/>
    </row>
    <row r="990" ht="15.75" customHeight="1" s="17">
      <c r="A990" s="5" t="n"/>
      <c r="B990" s="5" t="n"/>
      <c r="C990" s="5" t="n"/>
      <c r="D990" s="5" t="n"/>
      <c r="E990" s="5" t="n"/>
      <c r="F990" s="5" t="n"/>
      <c r="G990" s="5" t="n"/>
    </row>
    <row r="991" ht="15.75" customHeight="1" s="17">
      <c r="A991" s="5" t="n"/>
      <c r="B991" s="5" t="n"/>
      <c r="C991" s="5" t="n"/>
      <c r="D991" s="5" t="n"/>
      <c r="E991" s="5" t="n"/>
      <c r="F991" s="5" t="n"/>
      <c r="G991" s="5" t="n"/>
    </row>
    <row r="992" ht="15.75" customHeight="1" s="17">
      <c r="A992" s="5" t="n"/>
      <c r="B992" s="5" t="n"/>
      <c r="C992" s="5" t="n"/>
      <c r="D992" s="5" t="n"/>
      <c r="E992" s="5" t="n"/>
      <c r="F992" s="5" t="n"/>
      <c r="G992" s="5" t="n"/>
    </row>
    <row r="993" ht="15.75" customHeight="1" s="17">
      <c r="A993" s="5" t="n"/>
      <c r="B993" s="5" t="n"/>
      <c r="C993" s="5" t="n"/>
      <c r="D993" s="5" t="n"/>
      <c r="E993" s="5" t="n"/>
      <c r="F993" s="5" t="n"/>
      <c r="G993" s="5" t="n"/>
    </row>
    <row r="994" ht="15.75" customHeight="1" s="17">
      <c r="A994" s="5" t="n"/>
      <c r="B994" s="5" t="n"/>
      <c r="C994" s="5" t="n"/>
      <c r="D994" s="5" t="n"/>
      <c r="E994" s="5" t="n"/>
      <c r="F994" s="5" t="n"/>
      <c r="G994" s="5" t="n"/>
    </row>
    <row r="995" ht="15.75" customHeight="1" s="17">
      <c r="A995" s="5" t="n"/>
      <c r="B995" s="5" t="n"/>
      <c r="C995" s="5" t="n"/>
      <c r="D995" s="5" t="n"/>
      <c r="E995" s="5" t="n"/>
      <c r="F995" s="5" t="n"/>
      <c r="G995" s="5" t="n"/>
    </row>
    <row r="996" ht="15.75" customHeight="1" s="17">
      <c r="A996" s="5" t="n"/>
      <c r="B996" s="5" t="n"/>
      <c r="C996" s="5" t="n"/>
      <c r="D996" s="5" t="n"/>
      <c r="E996" s="5" t="n"/>
      <c r="F996" s="5" t="n"/>
      <c r="G996" s="5" t="n"/>
    </row>
    <row r="997" ht="15.75" customHeight="1" s="17">
      <c r="A997" s="5" t="n"/>
      <c r="B997" s="5" t="n"/>
      <c r="C997" s="5" t="n"/>
      <c r="D997" s="5" t="n"/>
      <c r="E997" s="5" t="n"/>
      <c r="F997" s="5" t="n"/>
      <c r="G997" s="5" t="n"/>
    </row>
    <row r="998" ht="15.75" customHeight="1" s="17">
      <c r="A998" s="5" t="n"/>
      <c r="B998" s="5" t="n"/>
      <c r="C998" s="5" t="n"/>
      <c r="D998" s="5" t="n"/>
      <c r="E998" s="5" t="n"/>
      <c r="F998" s="5" t="n"/>
      <c r="G998" s="5" t="n"/>
    </row>
    <row r="999" ht="15.75" customHeight="1" s="17">
      <c r="A999" s="5" t="n"/>
      <c r="B999" s="5" t="n"/>
      <c r="C999" s="5" t="n"/>
      <c r="D999" s="5" t="n"/>
      <c r="E999" s="5" t="n"/>
      <c r="F999" s="5" t="n"/>
      <c r="G999" s="5" t="n"/>
    </row>
    <row r="1000" ht="15.75" customHeight="1" s="17">
      <c r="A1000" s="5" t="n"/>
      <c r="B1000" s="5" t="n"/>
      <c r="C1000" s="5" t="n"/>
      <c r="D1000" s="5" t="n"/>
      <c r="E1000" s="5" t="n"/>
      <c r="F1000" s="5" t="n"/>
      <c r="G1000" s="5" t="n"/>
    </row>
  </sheetData>
  <hyperlinks>
    <hyperlink xmlns:r="http://schemas.openxmlformats.org/officeDocument/2006/relationships" ref="A16" r:id="rId1"/>
    <hyperlink xmlns:r="http://schemas.openxmlformats.org/officeDocument/2006/relationships" ref="D16" r:id="rId2"/>
    <hyperlink xmlns:r="http://schemas.openxmlformats.org/officeDocument/2006/relationships" ref="A17" r:id="rId3"/>
    <hyperlink xmlns:r="http://schemas.openxmlformats.org/officeDocument/2006/relationships" ref="D17" r:id="rId4"/>
    <hyperlink xmlns:r="http://schemas.openxmlformats.org/officeDocument/2006/relationships" ref="A18" r:id="rId5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7" min="1" max="1"/>
    <col width="83.29000000000001" customWidth="1" style="17" min="2" max="2"/>
    <col width="8.710000000000001" customWidth="1" style="17" min="3" max="5"/>
    <col width="22" customWidth="1" style="17" min="6" max="6"/>
    <col width="43.29" customWidth="1" style="17" min="7" max="7"/>
    <col width="8.710000000000001" customWidth="1" style="17" min="8" max="8"/>
  </cols>
  <sheetData>
    <row r="1">
      <c r="A1" s="2" t="inlineStr">
        <is>
          <t>article_id</t>
        </is>
      </c>
      <c r="B1" s="2" t="inlineStr">
        <is>
          <t>рабочий заголовок</t>
        </is>
      </c>
      <c r="C1" s="2" t="inlineStr">
        <is>
          <t>кластер</t>
        </is>
      </c>
      <c r="D1" s="2" t="inlineStr">
        <is>
          <t>slug</t>
        </is>
      </c>
      <c r="E1" s="2" t="inlineStr">
        <is>
          <t>тип статьи</t>
        </is>
      </c>
      <c r="F1" s="2" t="inlineStr">
        <is>
          <t>приоритет</t>
        </is>
      </c>
      <c r="G1" s="2" t="inlineStr">
        <is>
          <t>статус</t>
        </is>
      </c>
      <c r="H1" s="2" t="inlineStr">
        <is>
          <t>перелинковка (исходящие ссылки и анкоры)</t>
        </is>
      </c>
      <c r="I1" s="5" t="inlineStr">
        <is>
          <t>Ответственный_бот</t>
        </is>
      </c>
      <c r="J1" s="5" t="inlineStr">
        <is>
          <t>Следующее_действие</t>
        </is>
      </c>
      <c r="K1" s="5" t="inlineStr">
        <is>
          <t>test</t>
        </is>
      </c>
      <c r="L1" s="5" t="inlineStr">
        <is>
          <t>Оценка_приоритета_0_100</t>
        </is>
      </c>
      <c r="M1" s="5" t="n"/>
      <c r="N1" s="5">
        <f>MATCH(4, A:A, 0)</f>
        <v/>
      </c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>
        <f>MATCH(1, A:A, 0)</f>
        <v/>
      </c>
    </row>
    <row r="2">
      <c r="A2" s="9" t="n">
        <v>1</v>
      </c>
      <c r="B2" s="9" t="inlineStr">
        <is>
          <t>Как паять паяльником: пошаговый гайд для начинающих</t>
        </is>
      </c>
      <c r="C2" s="9" t="inlineStr">
        <is>
          <t>Основы пайки / Как паять</t>
        </is>
      </c>
      <c r="D2" s="9" t="inlineStr">
        <is>
          <t>kak-payat-payalnikom-dlya-nachinayuschih</t>
        </is>
      </c>
      <c r="E2" s="9" t="inlineStr">
        <is>
          <t>гайд</t>
        </is>
      </c>
      <c r="F2" s="9" t="inlineStr">
        <is>
          <t>🔴 Высокий</t>
        </is>
      </c>
      <c r="G2" s="9" t="inlineStr">
        <is>
          <t>WordPress Draft готов</t>
        </is>
      </c>
      <c r="H2" s="9" t="inlineStr">
        <is>
          <t>-&gt; #2 (/s-chego-nachat-pajku) [что купить новичку]; -&gt; #15 (/pripoj-dlya-pajki-vidy) [выбор припоя ПОС-61]; -&gt; #20 (/flyus-dlya-pajki-kakoj-vybrat) [применение флюса]; -&gt; #25 (/oshibki-novichka-pri-pajke) [типичные ошибки новичков]</t>
        </is>
      </c>
      <c r="I2" s="5" t="inlineStr">
        <is>
          <t>solder-wordpress-publisher</t>
        </is>
      </c>
      <c r="J2" s="5" t="inlineStr">
        <is>
          <t>Опубликовать в WordPress</t>
        </is>
      </c>
      <c r="K2" s="5" t="n"/>
      <c r="L2" s="5" t="n">
        <v>93</v>
      </c>
      <c r="M2" s="5" t="n"/>
      <c r="N2" s="5">
        <f>MATCH(15, A:A, 0)</f>
        <v/>
      </c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9" t="n">
        <v>2</v>
      </c>
      <c r="B3" s="9" t="inlineStr">
        <is>
          <t>С чего начать пайку: что нужно новичку</t>
        </is>
      </c>
      <c r="C3" s="9" t="inlineStr">
        <is>
          <t>Основы пайки / Как паять</t>
        </is>
      </c>
      <c r="D3" s="9" t="inlineStr">
        <is>
          <t>s-chego-nachat-pajku</t>
        </is>
      </c>
      <c r="E3" s="9" t="inlineStr">
        <is>
          <t>гайд</t>
        </is>
      </c>
      <c r="F3" s="9" t="inlineStr">
        <is>
          <t>🔴 Высокий</t>
        </is>
      </c>
      <c r="G3" s="9" t="inlineStr">
        <is>
          <t>написано</t>
        </is>
      </c>
      <c r="H3" s="9" t="inlineStr">
        <is>
          <t>-&gt; #1 (/kak-payat-payalnikom-dlya-nachinayuschih) [пошаговая техника пайки]; -&gt; #6 (/kakoj-payalnik-vybrat) [как выбрать паяльник]; -&gt; #47 (/nabor-instrumentov-dlya-nachinayuschih) [набор инструментов радиолюбителя]</t>
        </is>
      </c>
      <c r="I3" s="5" t="inlineStr">
        <is>
          <t>solder-article-writer</t>
        </is>
      </c>
      <c r="J3" s="5" t="inlineStr">
        <is>
          <t>Опубликовать</t>
        </is>
      </c>
      <c r="K3" s="5" t="n"/>
      <c r="L3" s="5" t="n">
        <v>90</v>
      </c>
      <c r="M3" s="5" t="n"/>
      <c r="N3" s="5">
        <f>MATCH(16, A:A, 0)</f>
        <v/>
      </c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9" t="n">
        <v>3</v>
      </c>
      <c r="B4" s="9" t="inlineStr">
        <is>
          <t>Пайка проводов: как правильно соединить и изолировать</t>
        </is>
      </c>
      <c r="C4" s="9" t="inlineStr">
        <is>
          <t>Основы пайки / Как паять</t>
        </is>
      </c>
      <c r="D4" s="9" t="inlineStr">
        <is>
          <t>pajka-provodov-kak-soedinit</t>
        </is>
      </c>
      <c r="E4" s="9" t="inlineStr">
        <is>
          <t>инструкция</t>
        </is>
      </c>
      <c r="F4" s="9" t="inlineStr">
        <is>
          <t>🔴 Высокий</t>
        </is>
      </c>
      <c r="G4" s="9" t="inlineStr">
        <is>
          <t>написано</t>
        </is>
      </c>
      <c r="H4" s="9" t="n"/>
      <c r="I4" s="5" t="inlineStr">
        <is>
          <t>solder-reviewer</t>
        </is>
      </c>
      <c r="J4" s="5" t="inlineStr">
        <is>
          <t>Передать на ревью (solder-reviewer)</t>
        </is>
      </c>
      <c r="K4" s="5" t="n"/>
      <c r="L4" s="5" t="n">
        <v>90</v>
      </c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n">
        <v>4</v>
      </c>
      <c r="B5" s="18" t="inlineStr">
        <is>
          <t>Как научиться паять быстро и без брака</t>
        </is>
      </c>
      <c r="C5" s="18" t="inlineStr">
        <is>
          <t>Основы пайки / Как паять</t>
        </is>
      </c>
      <c r="D5" s="18" t="inlineStr">
        <is>
          <t>kak-nauchitsya-payat-bystro</t>
        </is>
      </c>
      <c r="E5" s="18" t="inlineStr">
        <is>
          <t>гайд</t>
        </is>
      </c>
      <c r="F5" s="18" t="inlineStr">
        <is>
          <t>🟡 Средний</t>
        </is>
      </c>
      <c r="G5" s="18" t="inlineStr">
        <is>
          <t>написано</t>
        </is>
      </c>
      <c r="H5" s="18" t="inlineStr">
        <is>
          <t>-&gt; #1 (/kak-payat-payalnikom-dlya-nachinayuschih) [пошаговый алгоритм]; -&gt; #25 (/oshibki-novichka-pri-pajke) [причины брака]; -&gt; #42 (/kak-chistit-i-ludit-zhalo) [лужение жала]</t>
        </is>
      </c>
      <c r="I5" s="19" t="inlineStr">
        <is>
          <t>solder-article-auditor</t>
        </is>
      </c>
      <c r="J5" s="19" t="inlineStr">
        <is>
          <t>Передать на аудит (solder-article-auditor)</t>
        </is>
      </c>
      <c r="K5" s="5" t="n"/>
      <c r="L5" s="5" t="n">
        <v>85</v>
      </c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9" t="n">
        <v>5</v>
      </c>
      <c r="B6" s="9" t="inlineStr">
        <is>
          <t>Пайка для детей: безопасное обучение основам</t>
        </is>
      </c>
      <c r="C6" s="9" t="inlineStr">
        <is>
          <t>Основы пайки / Как паять</t>
        </is>
      </c>
      <c r="D6" s="9" t="inlineStr">
        <is>
          <t>pajka-dlya-detej-bezopasnost</t>
        </is>
      </c>
      <c r="E6" s="9" t="inlineStr">
        <is>
          <t>гайд</t>
        </is>
      </c>
      <c r="F6" s="9" t="inlineStr">
        <is>
          <t>🟢 Низкий</t>
        </is>
      </c>
      <c r="G6" s="9" t="inlineStr">
        <is>
          <t>не начато</t>
        </is>
      </c>
      <c r="H6" s="9" t="inlineStr">
        <is>
          <t>-&gt; #8 (/moschnost-payalnika-dlya-zadach) [маломощный паяльник]; -&gt; #43 (/tehnika-bezopasnosti-pri-pajke) [техника безопасности]</t>
        </is>
      </c>
      <c r="I6" s="5" t="n"/>
      <c r="J6" s="5" t="n"/>
      <c r="K6" s="5" t="n"/>
      <c r="L6" s="5" t="n">
        <v>80</v>
      </c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9" t="n">
        <v>6</v>
      </c>
      <c r="B7" s="9" t="inlineStr">
        <is>
          <t>Какой паяльник выбрать: советы для новичка в 2026 году</t>
        </is>
      </c>
      <c r="C7" s="9" t="inlineStr">
        <is>
          <t>Инструменты / Выбор паяльника</t>
        </is>
      </c>
      <c r="D7" s="9" t="inlineStr">
        <is>
          <t>kakoj-payalnik-vybrat</t>
        </is>
      </c>
      <c r="E7" s="9" t="inlineStr">
        <is>
          <t>buyer's guide</t>
        </is>
      </c>
      <c r="F7" s="9" t="inlineStr">
        <is>
          <t>🔴 Высокий</t>
        </is>
      </c>
      <c r="G7" s="9" t="inlineStr">
        <is>
          <t>Ревью: текст</t>
        </is>
      </c>
      <c r="H7" s="9" t="inlineStr">
        <is>
          <t>-&gt; #7 (/payalnaya-stanciya-ili-payalnik) [паяльник или станция]; -&gt; #8 (/moschnost-payalnika-dlya-zadach) [подбор мощности]; -&gt; #11 (/luchshie-payalniki-dlya-doma) [ТОП паяльников 2026]; -&gt; #54 (/smart-payalniki-type-c-obzor) [смарт-паяльники Type-C]</t>
        </is>
      </c>
      <c r="I7" s="5" t="n"/>
      <c r="J7" s="5" t="n"/>
      <c r="K7" s="5" t="n"/>
      <c r="L7" s="5" t="n">
        <v>96</v>
      </c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2" t="n">
        <v>7</v>
      </c>
      <c r="B8" s="2" t="inlineStr">
        <is>
          <t>Паяльная станция или обычный паяльник: что выбрать</t>
        </is>
      </c>
      <c r="C8" s="2" t="inlineStr">
        <is>
          <t>Инструменты / Выбор паяльника</t>
        </is>
      </c>
      <c r="D8" s="2" t="inlineStr">
        <is>
          <t>payalnaya-stanciya-ili-payalnik</t>
        </is>
      </c>
      <c r="E8" s="2" t="inlineStr">
        <is>
          <t>сравнение</t>
        </is>
      </c>
      <c r="F8" s="2" t="inlineStr">
        <is>
          <t>🔴 Высокий</t>
        </is>
      </c>
      <c r="G8" s="2" t="inlineStr">
        <is>
          <t>Запустить</t>
        </is>
      </c>
      <c r="H8" s="2" t="inlineStr">
        <is>
          <t>-&gt; #6 (/kakoj-payalnik-vybrat) [как выбрать паяльник]; -&gt; #12 (/payalnye-stancii-do-5000) [бюджетные паяльные станции]; -&gt; #33 (/termofen-dlya-pajki-vybor) [термофен для SMD]</t>
        </is>
      </c>
      <c r="I8" s="5" t="n"/>
      <c r="J8" s="5" t="inlineStr">
        <is>
          <t>Сформировать ТЗ в solder-seo-researcher</t>
        </is>
      </c>
      <c r="K8" s="5" t="n"/>
      <c r="L8" s="5" t="n">
        <v>87</v>
      </c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2" t="n">
        <v>8</v>
      </c>
      <c r="B9" s="2" t="inlineStr">
        <is>
          <t>Какая мощность паяльника нужна для разных задач</t>
        </is>
      </c>
      <c r="C9" s="2" t="inlineStr">
        <is>
          <t>Инструменты / Выбор паяльника</t>
        </is>
      </c>
      <c r="D9" s="2" t="inlineStr">
        <is>
          <t>moschnost-payalnika-dlya-zadach</t>
        </is>
      </c>
      <c r="E9" s="2" t="inlineStr">
        <is>
          <t>гайд</t>
        </is>
      </c>
      <c r="F9" s="2" t="inlineStr">
        <is>
          <t>🟡 Средний</t>
        </is>
      </c>
      <c r="G9" s="2" t="inlineStr">
        <is>
          <t>Запустить</t>
        </is>
      </c>
      <c r="H9" s="2" t="inlineStr">
        <is>
          <t>-&gt; #6 (/kakoj-payalnik-vybrat) [выбор паяльника]; -&gt; #29 (/peregrev-komponentov-pri-pajke) [защита деталей от перегрева]</t>
        </is>
      </c>
      <c r="I9" s="5" t="n"/>
      <c r="J9" s="5" t="inlineStr">
        <is>
          <t>Сформировать ТЗ в solder-seo-researcher</t>
        </is>
      </c>
      <c r="K9" s="5" t="n"/>
      <c r="L9" s="5" t="n">
        <v>87</v>
      </c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2" t="n">
        <v>9</v>
      </c>
      <c r="B10" s="2" t="inlineStr">
        <is>
          <t>Беспроводной паяльник: плюсы, минусы, когда нужен</t>
        </is>
      </c>
      <c r="C10" s="2" t="inlineStr">
        <is>
          <t>Инструменты / Выбор паяльника</t>
        </is>
      </c>
      <c r="D10" s="2" t="inlineStr">
        <is>
          <t>besprovodnoj-payalnik</t>
        </is>
      </c>
      <c r="E10" s="2" t="inlineStr">
        <is>
          <t>обзор</t>
        </is>
      </c>
      <c r="F10" s="2" t="inlineStr">
        <is>
          <t>🟡 Средний</t>
        </is>
      </c>
      <c r="G10" s="2" t="inlineStr">
        <is>
          <t>не начато</t>
        </is>
      </c>
      <c r="H10" s="2" t="inlineStr">
        <is>
          <t>-&gt; #6 (/kakoj-payalnik-vybrat) [сетевые паяльники]; -&gt; #46 (/kak-organizovat-mesto-dlya-pajki) [пайка вне дома]</t>
        </is>
      </c>
      <c r="I10" s="5" t="n"/>
      <c r="J10" s="5" t="n"/>
      <c r="K10" s="5" t="n"/>
      <c r="L10" s="5" t="n">
        <v>82</v>
      </c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" t="n">
        <v>10</v>
      </c>
      <c r="B11" s="2" t="inlineStr">
        <is>
          <t>Паяльник для SMD: какой выбрать для мелких деталей</t>
        </is>
      </c>
      <c r="C11" s="2" t="inlineStr">
        <is>
          <t>Инструменты / Выбор паяльника</t>
        </is>
      </c>
      <c r="D11" s="2" t="inlineStr">
        <is>
          <t>payalnik-dlya-smd</t>
        </is>
      </c>
      <c r="E11" s="2" t="inlineStr">
        <is>
          <t>buyer's guide</t>
        </is>
      </c>
      <c r="F11" s="2" t="inlineStr">
        <is>
          <t>🟡 Средний</t>
        </is>
      </c>
      <c r="G11" s="2" t="inlineStr">
        <is>
          <t>не начато</t>
        </is>
      </c>
      <c r="H11" s="2" t="inlineStr">
        <is>
          <t>-&gt; #6 (/kakoj-payalnik-vybrat) [критерии выбора паяльника]; -&gt; #30 (/smd-pajka-svoimi-rukami) [ручная пайка SMD]; -&gt; #41 (/zhalo-dlya-payalnika-tipy) [микрожала для SMD]</t>
        </is>
      </c>
      <c r="I11" s="5" t="n"/>
      <c r="J11" s="5" t="n"/>
      <c r="K11" s="5" t="n"/>
      <c r="L11" s="5" t="n">
        <v>82</v>
      </c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2" t="n">
        <v>11</v>
      </c>
      <c r="B12" s="2" t="inlineStr">
        <is>
          <t>Лучшие паяльники для дома: ТОП-10 моделей 2026</t>
        </is>
      </c>
      <c r="C12" s="2" t="inlineStr">
        <is>
          <t>Инструменты / Рейтинг паяльников</t>
        </is>
      </c>
      <c r="D12" s="2" t="inlineStr">
        <is>
          <t>luchshie-payalniki-dlya-doma</t>
        </is>
      </c>
      <c r="E12" s="2" t="inlineStr">
        <is>
          <t>рейтинг</t>
        </is>
      </c>
      <c r="F12" s="2" t="inlineStr">
        <is>
          <t>🔴 Высокий</t>
        </is>
      </c>
      <c r="G12" s="2" t="inlineStr">
        <is>
          <t>Запустить</t>
        </is>
      </c>
      <c r="H12" s="2" t="inlineStr">
        <is>
          <t>-&gt; #6 (/kakoj-payalnik-vybrat) [параметры выбора]; -&gt; #12 (/payalnye-stancii-do-5000) [станции до 5000 рублей]; -&gt; #13 (/payalniki-t12-obzor) [паяльники T12]; -&gt; #54 (/smart-payalniki-type-c-obzor) [смарт-паяльники Type-C]</t>
        </is>
      </c>
      <c r="I12" s="5" t="n"/>
      <c r="J12" s="5" t="n"/>
      <c r="K12" s="5" t="n"/>
      <c r="L12" s="5" t="n">
        <v>88</v>
      </c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2" t="n">
        <v>12</v>
      </c>
      <c r="B13" s="2" t="inlineStr">
        <is>
          <t>Лучшие паяльные станции до 5000 рублей</t>
        </is>
      </c>
      <c r="C13" s="2" t="inlineStr">
        <is>
          <t>Инструменты / Рейтинг паяльников</t>
        </is>
      </c>
      <c r="D13" s="2" t="inlineStr">
        <is>
          <t>payalnye-stancii-do-5000</t>
        </is>
      </c>
      <c r="E13" s="2" t="inlineStr">
        <is>
          <t>рейтинг</t>
        </is>
      </c>
      <c r="F13" s="2" t="inlineStr">
        <is>
          <t>🟡 Средний</t>
        </is>
      </c>
      <c r="G13" s="2" t="inlineStr">
        <is>
          <t>не начато</t>
        </is>
      </c>
      <c r="H13" s="2" t="inlineStr">
        <is>
          <t>-&gt; #11 (/luchshie-payalniki-dlya-doma) [общий рейтинг паяльников]; -&gt; #7 (/payalnaya-stanciya-ili-payalnik) [станция или паяльник]</t>
        </is>
      </c>
      <c r="I13" s="5" t="n"/>
      <c r="J13" s="5" t="n"/>
      <c r="K13" s="5" t="n"/>
      <c r="L13" s="5" t="n">
        <v>84</v>
      </c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2" t="n">
        <v>13</v>
      </c>
      <c r="B14" s="2" t="inlineStr">
        <is>
          <t>Обзор паяльников T12: что это и почему их выбирают</t>
        </is>
      </c>
      <c r="C14" s="2" t="inlineStr">
        <is>
          <t>Инструменты / Рейтинг паяльников</t>
        </is>
      </c>
      <c r="D14" s="2" t="inlineStr">
        <is>
          <t>payalniki-t12-obzor</t>
        </is>
      </c>
      <c r="E14" s="2" t="inlineStr">
        <is>
          <t>обзор</t>
        </is>
      </c>
      <c r="F14" s="2" t="inlineStr">
        <is>
          <t>🟡 Средний</t>
        </is>
      </c>
      <c r="G14" s="2" t="inlineStr">
        <is>
          <t>не начато</t>
        </is>
      </c>
      <c r="H14" s="2" t="inlineStr">
        <is>
          <t>-&gt; #11 (/luchshie-payalniki-dlya-doma) [рейтинг домашних паяльников]; -&gt; #41 (/zhalo-dlya-payalnika-tipy) [картриджи и жала T12]</t>
        </is>
      </c>
      <c r="I14" s="5" t="n"/>
      <c r="J14" s="5" t="n"/>
      <c r="K14" s="5" t="n"/>
      <c r="L14" s="5" t="n">
        <v>84</v>
      </c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2" t="n">
        <v>14</v>
      </c>
      <c r="B15" s="2" t="inlineStr">
        <is>
          <t>Паяльники Hakko: обзор моделей и для чего подходят</t>
        </is>
      </c>
      <c r="C15" s="2" t="inlineStr">
        <is>
          <t>Инструменты / Рейтинг паяльников</t>
        </is>
      </c>
      <c r="D15" s="2" t="inlineStr">
        <is>
          <t>payalniki-hakko-obzor</t>
        </is>
      </c>
      <c r="E15" s="2" t="inlineStr">
        <is>
          <t>обзор бренда</t>
        </is>
      </c>
      <c r="F15" s="2" t="inlineStr">
        <is>
          <t>🟢 Низкий</t>
        </is>
      </c>
      <c r="G15" s="2" t="inlineStr">
        <is>
          <t>не начато</t>
        </is>
      </c>
      <c r="H15" s="2" t="inlineStr">
        <is>
          <t>-&gt; #11 (/luchshie-payalniki-dlya-doma) [ТОП паяльников]; -&gt; #41 (/zhalo-dlya-payalnika-tipy) [стандарты жал Hakko]</t>
        </is>
      </c>
      <c r="I15" s="5" t="n"/>
      <c r="J15" s="5" t="n"/>
      <c r="K15" s="5" t="n"/>
      <c r="L15" s="5" t="n">
        <v>81</v>
      </c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2" t="n">
        <v>15</v>
      </c>
      <c r="B16" s="2" t="inlineStr">
        <is>
          <t>Припой для пайки: виды и как выбрать правильный</t>
        </is>
      </c>
      <c r="C16" s="2" t="inlineStr">
        <is>
          <t>Материалы / Припои</t>
        </is>
      </c>
      <c r="D16" s="2" t="inlineStr">
        <is>
          <t>pripoj-dlya-pajki-vidy</t>
        </is>
      </c>
      <c r="E16" s="2" t="inlineStr">
        <is>
          <t>гайд</t>
        </is>
      </c>
      <c r="F16" s="2" t="inlineStr">
        <is>
          <t>🔴 Высокий</t>
        </is>
      </c>
      <c r="G16" s="2" t="inlineStr">
        <is>
          <t>Готов к написанию</t>
        </is>
      </c>
      <c r="H16" s="2" t="inlineStr">
        <is>
          <t>-&gt; #16 (/pos-61-i-pos-40-raznica) [сравнение ПОС-61 и ПОС-40]; -&gt; #17 (/bessvincovyj-pripoj) [бессвинцовые припои]; -&gt; #18 (/pripoj-s-flyusom-vnutri) [трубчатый припой с флюсом]; -&gt; #52 (/payalnaya-pasta-ili-pripoj) [паяльная паста vs припой]</t>
        </is>
      </c>
      <c r="I16" s="5" t="inlineStr">
        <is>
          <t>solder-article-writer</t>
        </is>
      </c>
      <c r="J16" s="5" t="inlineStr">
        <is>
          <t>Написать статью (solder-article-writer)</t>
        </is>
      </c>
      <c r="K16" s="5" t="n"/>
      <c r="L16" s="5" t="n">
        <v>88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2" t="n">
        <v>16</v>
      </c>
      <c r="B17" s="2" t="inlineStr">
        <is>
          <t>ПОС-61 и ПОС-40: в чём разница и что выбрать</t>
        </is>
      </c>
      <c r="C17" s="2" t="inlineStr">
        <is>
          <t>Материалы / Припои</t>
        </is>
      </c>
      <c r="D17" s="2" t="inlineStr">
        <is>
          <t>pos-61-i-pos-40-raznica</t>
        </is>
      </c>
      <c r="E17" s="2" t="inlineStr">
        <is>
          <t>сравнение</t>
        </is>
      </c>
      <c r="F17" s="2" t="inlineStr">
        <is>
          <t>🔴 Высокий</t>
        </is>
      </c>
      <c r="G17" s="2" t="inlineStr">
        <is>
          <t>Готов к написанию</t>
        </is>
      </c>
      <c r="H17" s="2" t="inlineStr">
        <is>
          <t>-&gt; #15 (/pripoj-dlya-pajki-vidy) [все виды припоев]; -&gt; #1 (/kak-payat-payalnikom-dlya-nachinayuschih) [пайка припоем ПОС-61]</t>
        </is>
      </c>
      <c r="I17" s="5" t="inlineStr">
        <is>
          <t>solder-article-writer</t>
        </is>
      </c>
      <c r="J17" s="5" t="inlineStr">
        <is>
          <t>Написать статью (solder-article-writer)</t>
        </is>
      </c>
      <c r="K17" s="5" t="n"/>
      <c r="L17" s="5" t="n">
        <v>82</v>
      </c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2" t="n">
        <v>17</v>
      </c>
      <c r="B18" s="2" t="inlineStr">
        <is>
          <t>Бессвинцовый припой: плюсы, минусы, когда использовать</t>
        </is>
      </c>
      <c r="C18" s="2" t="inlineStr">
        <is>
          <t>Материалы / Припои</t>
        </is>
      </c>
      <c r="D18" s="2" t="inlineStr">
        <is>
          <t>bessvincovyj-pripoj</t>
        </is>
      </c>
      <c r="E18" s="2" t="inlineStr">
        <is>
          <t>гайд</t>
        </is>
      </c>
      <c r="F18" s="2" t="inlineStr">
        <is>
          <t>🟡 Средний</t>
        </is>
      </c>
      <c r="G18" s="2" t="inlineStr">
        <is>
          <t>не начато</t>
        </is>
      </c>
      <c r="H18" s="2" t="inlineStr">
        <is>
          <t>-&gt; #15 (/pripoj-dlya-pajki-vidy) [классификация припоев]; -&gt; #43 (/tehnika-bezopasnosti-pri-pajke) [безопасность при работе со свинцом]</t>
        </is>
      </c>
      <c r="I18" s="5" t="n"/>
      <c r="J18" s="5" t="n"/>
      <c r="K18" s="5" t="n"/>
      <c r="L18" s="5" t="n">
        <v>82</v>
      </c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2" t="n">
        <v>18</v>
      </c>
      <c r="B19" s="2" t="inlineStr">
        <is>
          <t>Припой с флюсом внутри: что это и зачем нужен</t>
        </is>
      </c>
      <c r="C19" s="2" t="inlineStr">
        <is>
          <t>Материалы / Припои</t>
        </is>
      </c>
      <c r="D19" s="2" t="inlineStr">
        <is>
          <t>pripoj-s-flyusom-vnutri</t>
        </is>
      </c>
      <c r="E19" s="2" t="inlineStr">
        <is>
          <t>обучающий</t>
        </is>
      </c>
      <c r="F19" s="2" t="inlineStr">
        <is>
          <t>🟡 Средний</t>
        </is>
      </c>
      <c r="G19" s="2" t="inlineStr">
        <is>
          <t>не начато</t>
        </is>
      </c>
      <c r="H19" s="2" t="inlineStr">
        <is>
          <t>-&gt; #15 (/pripoj-dlya-pajki-vidy) [марки припоев]; -&gt; #20 (/flyus-dlya-pajki-kakoj-vybrat) [выбор флюса]</t>
        </is>
      </c>
      <c r="I19" s="5" t="n"/>
      <c r="J19" s="5" t="n"/>
      <c r="K19" s="5" t="n"/>
      <c r="L19" s="5" t="n">
        <v>86</v>
      </c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2" t="n">
        <v>19</v>
      </c>
      <c r="B20" s="2" t="inlineStr">
        <is>
          <t>Какой диаметр припоя выбрать для разных работ</t>
        </is>
      </c>
      <c r="C20" s="2" t="inlineStr">
        <is>
          <t>Материалы / Припои</t>
        </is>
      </c>
      <c r="D20" s="2" t="inlineStr">
        <is>
          <t>diametr-pripoya-dlya-rabot</t>
        </is>
      </c>
      <c r="E20" s="2" t="inlineStr">
        <is>
          <t>гайд</t>
        </is>
      </c>
      <c r="F20" s="2" t="inlineStr">
        <is>
          <t>🟢 Низкий</t>
        </is>
      </c>
      <c r="G20" s="2" t="inlineStr">
        <is>
          <t>не начато</t>
        </is>
      </c>
      <c r="H20" s="2" t="inlineStr">
        <is>
          <t>-&gt; #15 (/pripoj-dlya-pajki-vidy) [виды припоев]; -&gt; #30 (/smd-pajka-svoimi-rukami) [припой для SMD]</t>
        </is>
      </c>
      <c r="I20" s="5" t="n"/>
      <c r="J20" s="5" t="n"/>
      <c r="K20" s="5" t="n"/>
      <c r="L20" s="5" t="n">
        <v>84</v>
      </c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7">
      <c r="A21" s="2" t="n">
        <v>20</v>
      </c>
      <c r="B21" s="2" t="inlineStr">
        <is>
          <t>Флюс для пайки: какой выбрать и как использовать</t>
        </is>
      </c>
      <c r="C21" s="2" t="inlineStr">
        <is>
          <t>Материалы / Флюсы</t>
        </is>
      </c>
      <c r="D21" s="2" t="inlineStr">
        <is>
          <t>flyus-dlya-pajki-kakoj-vybrat</t>
        </is>
      </c>
      <c r="E21" s="2" t="inlineStr">
        <is>
          <t>гайд</t>
        </is>
      </c>
      <c r="F21" s="2" t="inlineStr">
        <is>
          <t>🔴 Высокий</t>
        </is>
      </c>
      <c r="G21" s="2" t="inlineStr">
        <is>
          <t>Запустить</t>
        </is>
      </c>
      <c r="H21" s="2" t="inlineStr">
        <is>
          <t>-&gt; #21 (/kanifol-ili-zhidkij-flyus) [канифоль или жидкий флюс]; -&gt; #22 (/aktivnyj-flyus-kak-smyt) [активный флюс]; -&gt; #23 (/flyus-rma-i-ra-otlichiya) [маркировки RMA и RA]; -&gt; #52 (/payalnaya-pasta-ili-pripoj) [флюс-гель и паста]</t>
        </is>
      </c>
      <c r="I21" s="5" t="n"/>
      <c r="J21" s="5" t="n"/>
      <c r="K21" s="5" t="n"/>
      <c r="L21" s="5" t="n">
        <v>93</v>
      </c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7">
      <c r="A22" s="2" t="n">
        <v>21</v>
      </c>
      <c r="B22" s="2" t="inlineStr">
        <is>
          <t>Канифоль или жидкий флюс: что лучше для новичка</t>
        </is>
      </c>
      <c r="C22" s="2" t="inlineStr">
        <is>
          <t>Материалы / Флюсы</t>
        </is>
      </c>
      <c r="D22" s="2" t="inlineStr">
        <is>
          <t>kanifol-ili-zhidkij-flyus</t>
        </is>
      </c>
      <c r="E22" s="2" t="inlineStr">
        <is>
          <t>сравнение</t>
        </is>
      </c>
      <c r="F22" s="2" t="inlineStr">
        <is>
          <t>🔴 Высокий</t>
        </is>
      </c>
      <c r="G22" s="2" t="inlineStr">
        <is>
          <t>не начато</t>
        </is>
      </c>
      <c r="H22" s="2" t="inlineStr">
        <is>
          <t>-&gt; #20 (/flyus-dlya-pajki-kakoj-vybrat) [все виды флюсов]; -&gt; #1 (/kak-payat-payalnikom-dlya-nachinayuschih) [нанесение флюса при пайке]</t>
        </is>
      </c>
      <c r="I22" s="5" t="n"/>
      <c r="J22" s="5" t="n"/>
      <c r="K22" s="5" t="n"/>
      <c r="L22" s="5" t="n">
        <v>87</v>
      </c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7">
      <c r="A23" s="2" t="n">
        <v>22</v>
      </c>
      <c r="B23" s="2" t="inlineStr">
        <is>
          <t>Активный флюс: когда использовать и как смыть остатки</t>
        </is>
      </c>
      <c r="C23" s="2" t="inlineStr">
        <is>
          <t>Материалы / Флюсы</t>
        </is>
      </c>
      <c r="D23" s="2" t="inlineStr">
        <is>
          <t>aktivnyj-flyus-kak-smyt</t>
        </is>
      </c>
      <c r="E23" s="2" t="inlineStr">
        <is>
          <t>гайд</t>
        </is>
      </c>
      <c r="F23" s="2" t="inlineStr">
        <is>
          <t>🟡 Средний</t>
        </is>
      </c>
      <c r="G23" s="2" t="inlineStr">
        <is>
          <t>не начато</t>
        </is>
      </c>
      <c r="H23" s="2" t="inlineStr">
        <is>
          <t>-&gt; #20 (/flyus-dlya-pajki-kakoj-vybrat) [выбор нейтрального флюса]; -&gt; #29 (/peregrev-komponentov-pri-pajke) [промывка платы от флюса]</t>
        </is>
      </c>
      <c r="I23" s="5" t="n"/>
      <c r="J23" s="5" t="n"/>
      <c r="K23" s="5" t="n"/>
      <c r="L23" s="5" t="n">
        <v>90</v>
      </c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7">
      <c r="A24" s="2" t="n">
        <v>23</v>
      </c>
      <c r="B24" s="2" t="inlineStr">
        <is>
          <t>Флюс RMA и RA: расшифровка маркировки и отличия</t>
        </is>
      </c>
      <c r="C24" s="2" t="inlineStr">
        <is>
          <t>Материалы / Флюсы</t>
        </is>
      </c>
      <c r="D24" s="2" t="inlineStr">
        <is>
          <t>flyus-rma-i-ra-otlichiya</t>
        </is>
      </c>
      <c r="E24" s="2" t="inlineStr">
        <is>
          <t>обучающий</t>
        </is>
      </c>
      <c r="F24" s="2" t="inlineStr">
        <is>
          <t>🟢 Низкий</t>
        </is>
      </c>
      <c r="G24" s="2" t="inlineStr">
        <is>
          <t>не начато</t>
        </is>
      </c>
      <c r="H24" s="2" t="inlineStr">
        <is>
          <t>-&gt; #20 (/flyus-dlya-pajki-kakoj-vybrat) [классификация флюсов]; -&gt; #30 (/smd-pajka-svoimi-rukami) [флюс-гель для SMD]</t>
        </is>
      </c>
      <c r="I24" s="5" t="n"/>
      <c r="J24" s="5" t="n"/>
      <c r="K24" s="5" t="n"/>
      <c r="L24" s="5" t="n">
        <v>87</v>
      </c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7">
      <c r="A25" s="2" t="n">
        <v>24</v>
      </c>
      <c r="B25" s="2" t="inlineStr">
        <is>
          <t>Как сделать флюс в домашних условиях</t>
        </is>
      </c>
      <c r="C25" s="2" t="inlineStr">
        <is>
          <t>Материалы / Флюсы</t>
        </is>
      </c>
      <c r="D25" s="2" t="inlineStr">
        <is>
          <t>kak-sdelat-flyus-doma</t>
        </is>
      </c>
      <c r="E25" s="2" t="inlineStr">
        <is>
          <t>инструкция</t>
        </is>
      </c>
      <c r="F25" s="2" t="inlineStr">
        <is>
          <t>🟢 Низкий</t>
        </is>
      </c>
      <c r="G25" s="2" t="inlineStr">
        <is>
          <t>не начато</t>
        </is>
      </c>
      <c r="H25" s="2" t="inlineStr">
        <is>
          <t>-&gt; #20 (/flyus-dlya-pajki-kakoj-vybrat) [готовые флюсы]; -&gt; #21 (/kanifol-ili-zhidkij-flyus) [спиртоканифольный флюс СКФ]</t>
        </is>
      </c>
      <c r="I25" s="5" t="n"/>
      <c r="J25" s="5" t="n"/>
      <c r="K25" s="5" t="n"/>
      <c r="L25" s="5" t="n">
        <v>85</v>
      </c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7">
      <c r="A26" s="2" t="n">
        <v>25</v>
      </c>
      <c r="B26" s="2" t="inlineStr">
        <is>
          <t>5 типичных ошибок новичка при пайке и как их избежать</t>
        </is>
      </c>
      <c r="C26" s="2" t="inlineStr">
        <is>
          <t>Ошибки / Проблемы новичка</t>
        </is>
      </c>
      <c r="D26" s="2" t="inlineStr">
        <is>
          <t>oshibki-novichka-pri-pajke</t>
        </is>
      </c>
      <c r="E26" s="2" t="inlineStr">
        <is>
          <t>топ ошибок</t>
        </is>
      </c>
      <c r="F26" s="2" t="inlineStr">
        <is>
          <t>🔴 Высокий</t>
        </is>
      </c>
      <c r="G26" s="2" t="inlineStr">
        <is>
          <t>Запустить</t>
        </is>
      </c>
      <c r="H26" s="2" t="inlineStr">
        <is>
          <t>-&gt; #26 (/holodnaya-pajka-kak-raspoznat) [дефект холодной пайки]; -&gt; #27 (/pripoj-ne-plavitsya-prichiny) [почему припой скатывается]; -&gt; #28 (/kak-ubrat-most-pripoya) [как убрать мостик припоя]; -&gt; #29 (/peregrev-komponentov-pri-pajke) [перегрев деталей]</t>
        </is>
      </c>
      <c r="I26" s="5" t="n"/>
      <c r="J26" s="5" t="n"/>
      <c r="K26" s="5" t="n"/>
      <c r="L26" s="5" t="n">
        <v>91</v>
      </c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7">
      <c r="A27" s="2" t="n">
        <v>26</v>
      </c>
      <c r="B27" s="2" t="inlineStr">
        <is>
          <t>Холодная пайка: как распознать и переделать</t>
        </is>
      </c>
      <c r="C27" s="2" t="inlineStr">
        <is>
          <t>Ошибки / Проблемы новичка</t>
        </is>
      </c>
      <c r="D27" s="2" t="inlineStr">
        <is>
          <t>holodnaya-pajka-kak-raspoznat</t>
        </is>
      </c>
      <c r="E27" s="2" t="inlineStr">
        <is>
          <t>гайд</t>
        </is>
      </c>
      <c r="F27" s="2" t="inlineStr">
        <is>
          <t>🔴 Высокий</t>
        </is>
      </c>
      <c r="G27" s="2" t="inlineStr">
        <is>
          <t>не начато</t>
        </is>
      </c>
      <c r="H27" s="2" t="inlineStr">
        <is>
          <t>-&gt; #25 (/oshibki-novichka-pri-pajke) [все ошибки новичка]; -&gt; #1 (/kak-payat-payalnikom-dlya-nachinayuschih) [правильный прогрев контакта]</t>
        </is>
      </c>
      <c r="I27" s="5" t="n"/>
      <c r="J27" s="5" t="n"/>
      <c r="K27" s="5" t="n"/>
      <c r="L27" s="5" t="n">
        <v>85</v>
      </c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7">
      <c r="A28" s="2" t="n">
        <v>27</v>
      </c>
      <c r="B28" s="2" t="inlineStr">
        <is>
          <t>Почему припой не плавится или скатывается: причины</t>
        </is>
      </c>
      <c r="C28" s="2" t="inlineStr">
        <is>
          <t>Ошибки / Проблемы новичка</t>
        </is>
      </c>
      <c r="D28" s="2" t="inlineStr">
        <is>
          <t>pripoj-ne-plavitsya-prichiny</t>
        </is>
      </c>
      <c r="E28" s="2" t="inlineStr">
        <is>
          <t>проблема-решение</t>
        </is>
      </c>
      <c r="F28" s="2" t="inlineStr">
        <is>
          <t>🟡 Средний</t>
        </is>
      </c>
      <c r="G28" s="2" t="inlineStr">
        <is>
          <t>не начато</t>
        </is>
      </c>
      <c r="H28" s="2" t="inlineStr">
        <is>
          <t>-&gt; #25 (/oshibki-novichka-pri-pajke) [типичные проблемы пайки]; -&gt; #42 (/kak-chistit-i-ludit-zhalo) [чистка и лужение жала]</t>
        </is>
      </c>
      <c r="I28" s="5" t="n"/>
      <c r="J28" s="5" t="n"/>
      <c r="K28" s="5" t="n"/>
      <c r="L28" s="5" t="n">
        <v>85</v>
      </c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7">
      <c r="A29" s="2" t="n">
        <v>28</v>
      </c>
      <c r="B29" s="2" t="inlineStr">
        <is>
          <t>Как убрать мост припоя между контактами</t>
        </is>
      </c>
      <c r="C29" s="2" t="inlineStr">
        <is>
          <t>Ошибки / Проблемы новичка</t>
        </is>
      </c>
      <c r="D29" s="2" t="inlineStr">
        <is>
          <t>kak-ubrat-most-pripoya</t>
        </is>
      </c>
      <c r="E29" s="2" t="inlineStr">
        <is>
          <t>инструкция</t>
        </is>
      </c>
      <c r="F29" s="2" t="inlineStr">
        <is>
          <t>🟡 Средний</t>
        </is>
      </c>
      <c r="G29" s="2" t="inlineStr">
        <is>
          <t>не начато</t>
        </is>
      </c>
      <c r="H29" s="2" t="inlineStr">
        <is>
          <t>-&gt; #25 (/oshibki-novichka-pri-pajke) [дефекты пайки]; -&gt; #39 (/opletka-dlya-snyatiya-pripoya) [удаление припоя медной оплеткой]</t>
        </is>
      </c>
      <c r="I29" s="5" t="n"/>
      <c r="J29" s="5" t="n"/>
      <c r="K29" s="5" t="n"/>
      <c r="L29" s="5" t="n">
        <v>85</v>
      </c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7">
      <c r="A30" s="2" t="n">
        <v>29</v>
      </c>
      <c r="B30" s="2" t="inlineStr">
        <is>
          <t>Перегрев компонентов при пайке: как не сжечь деталь</t>
        </is>
      </c>
      <c r="C30" s="2" t="inlineStr">
        <is>
          <t>Ошибки / Проблемы новичка</t>
        </is>
      </c>
      <c r="D30" s="2" t="inlineStr">
        <is>
          <t>peregrev-komponentov-pri-pajke</t>
        </is>
      </c>
      <c r="E30" s="2" t="inlineStr">
        <is>
          <t>гайд</t>
        </is>
      </c>
      <c r="F30" s="2" t="inlineStr">
        <is>
          <t>🟡 Средний</t>
        </is>
      </c>
      <c r="G30" s="2" t="inlineStr">
        <is>
          <t>не начато</t>
        </is>
      </c>
      <c r="H30" s="2" t="inlineStr">
        <is>
          <t>-&gt; #25 (/oshibki-novichka-pri-pajke) [ошибки при пайке]; -&gt; #8 (/moschnost-payalnika-dlya-zadach) [настройка температуры паяльника]</t>
        </is>
      </c>
      <c r="I30" s="5" t="n"/>
      <c r="J30" s="5" t="n"/>
      <c r="K30" s="5" t="n"/>
      <c r="L30" s="5" t="n">
        <v>87</v>
      </c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7">
      <c r="A31" s="2" t="n">
        <v>30</v>
      </c>
      <c r="B31" s="2" t="inlineStr">
        <is>
          <t>SMD пайка своими руками: как паять мелкие компоненты</t>
        </is>
      </c>
      <c r="C31" s="2" t="inlineStr">
        <is>
          <t>Типы монтажа / SMD</t>
        </is>
      </c>
      <c r="D31" s="2" t="inlineStr">
        <is>
          <t>smd-pajka-svoimi-rukami</t>
        </is>
      </c>
      <c r="E31" s="2" t="inlineStr">
        <is>
          <t>инструкция</t>
        </is>
      </c>
      <c r="F31" s="2" t="inlineStr">
        <is>
          <t>🟡 Средний</t>
        </is>
      </c>
      <c r="G31" s="2" t="inlineStr">
        <is>
          <t>не начато</t>
        </is>
      </c>
      <c r="H31" s="2" t="inlineStr">
        <is>
          <t>-&gt; #31 (/smd-ili-dip-chem-otlichayutsya) [разница SMD и DIP]; -&gt; #32 (/kak-payat-smd-bez-fena) [пайка SMD без фена]; -&gt; #33 (/termofen-dlya-pajki-vybor) [термофен для SMD]; -&gt; #58 (/pajka-komponentov-0201-0402) [пайка 0201 и 0402]</t>
        </is>
      </c>
      <c r="I31" s="5" t="n"/>
      <c r="J31" s="5" t="n"/>
      <c r="K31" s="5" t="n"/>
      <c r="L31" s="5" t="n">
        <v>80</v>
      </c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7">
      <c r="A32" s="2" t="n">
        <v>31</v>
      </c>
      <c r="B32" s="2" t="inlineStr">
        <is>
          <t>SMD или DIP: чем отличаются и что выбрать для проекта</t>
        </is>
      </c>
      <c r="C32" s="2" t="inlineStr">
        <is>
          <t>Типы монтажа / SMD vs DIP</t>
        </is>
      </c>
      <c r="D32" s="2" t="inlineStr">
        <is>
          <t>smd-ili-dip-chem-otlichayutsya</t>
        </is>
      </c>
      <c r="E32" s="2" t="inlineStr">
        <is>
          <t>сравнение</t>
        </is>
      </c>
      <c r="F32" s="2" t="inlineStr">
        <is>
          <t>🟡 Средний</t>
        </is>
      </c>
      <c r="G32" s="2" t="inlineStr">
        <is>
          <t>не начато</t>
        </is>
      </c>
      <c r="H32" s="2" t="inlineStr">
        <is>
          <t>-&gt; #1 (/kak-payat-payalnikom-dlya-nachinayuschih) [пайка DIP элементов]; -&gt; #30 (/smd-pajka-svoimi-rukami) [ручная пайка SMD]</t>
        </is>
      </c>
      <c r="I32" s="5" t="n"/>
      <c r="J32" s="5" t="n"/>
      <c r="K32" s="5" t="n"/>
      <c r="L32" s="5" t="n">
        <v>66</v>
      </c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7">
      <c r="A33" s="2" t="n">
        <v>32</v>
      </c>
      <c r="B33" s="2" t="inlineStr">
        <is>
          <t>Как паять SMD без паяльной станции с горячим воздухом</t>
        </is>
      </c>
      <c r="C33" s="2" t="inlineStr">
        <is>
          <t>Типы монтажа / SMD</t>
        </is>
      </c>
      <c r="D33" s="2" t="inlineStr">
        <is>
          <t>kak-payat-smd-bez-fena</t>
        </is>
      </c>
      <c r="E33" s="2" t="inlineStr">
        <is>
          <t>инструкция</t>
        </is>
      </c>
      <c r="F33" s="2" t="inlineStr">
        <is>
          <t>🟢 Низкий</t>
        </is>
      </c>
      <c r="G33" s="2" t="inlineStr">
        <is>
          <t>не начато</t>
        </is>
      </c>
      <c r="H33" s="2" t="inlineStr">
        <is>
          <t>-&gt; #30 (/smd-pajka-svoimi-rukami) [гайд по SMD пайке]; -&gt; #39 (/opletka-dlya-snyatiya-pripoya) [демонтаж оплеткой]</t>
        </is>
      </c>
      <c r="I33" s="5" t="n"/>
      <c r="J33" s="5" t="n"/>
      <c r="K33" s="5" t="n"/>
      <c r="L33" s="5" t="n">
        <v>74</v>
      </c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7">
      <c r="A34" s="2" t="n">
        <v>33</v>
      </c>
      <c r="B34" s="2" t="inlineStr">
        <is>
          <t>Термофен для пайки: нужен ли новичку и как выбрать</t>
        </is>
      </c>
      <c r="C34" s="2" t="inlineStr">
        <is>
          <t>Типы монтажа / SMD</t>
        </is>
      </c>
      <c r="D34" s="2" t="inlineStr">
        <is>
          <t>termofen-dlya-pajki-vybor</t>
        </is>
      </c>
      <c r="E34" s="2" t="inlineStr">
        <is>
          <t>buyer's guide</t>
        </is>
      </c>
      <c r="F34" s="2" t="inlineStr">
        <is>
          <t>🟢 Низкий</t>
        </is>
      </c>
      <c r="G34" s="2" t="inlineStr">
        <is>
          <t>не начато</t>
        </is>
      </c>
      <c r="H34" s="2" t="inlineStr">
        <is>
          <t>-&gt; #30 (/smd-pajka-svoimi-rukami) [ручной монтаж SMD]; -&gt; #7 (/payalnaya-stanciya-ili-payalnik) [комбо-станции с феном]</t>
        </is>
      </c>
      <c r="I34" s="5" t="n"/>
      <c r="J34" s="5" t="n"/>
      <c r="K34" s="5" t="n"/>
      <c r="L34" s="5" t="n">
        <v>74</v>
      </c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7">
      <c r="A35" s="2" t="n">
        <v>34</v>
      </c>
      <c r="B35" s="2" t="inlineStr">
        <is>
          <t>Пайка платы телефона: что нужно знать перед началом</t>
        </is>
      </c>
      <c r="C35" s="2" t="inlineStr">
        <is>
          <t>Ремонт электроники</t>
        </is>
      </c>
      <c r="D35" s="2" t="inlineStr">
        <is>
          <t>pajka-platy-telefona</t>
        </is>
      </c>
      <c r="E35" s="2" t="inlineStr">
        <is>
          <t>гайд</t>
        </is>
      </c>
      <c r="F35" s="2" t="inlineStr">
        <is>
          <t>🟡 Средний</t>
        </is>
      </c>
      <c r="G35" s="2" t="inlineStr">
        <is>
          <t>не начато</t>
        </is>
      </c>
      <c r="H35" s="2" t="inlineStr">
        <is>
          <t>-&gt; #35 (/kak-perepayat-razyom-zaryadki) [замена разъёма Type-C]; -&gt; #36 (/remont-naushnikov-pajka) [пайка шнуров и наушников]; -&gt; #37 (/kak-vypayat-detal-s-platy) [выпайка деталей с платы]; -&gt; #51 (/payka-bga-rebolling-dlya-nachinayushchih) [реболлинг BGA чипов]</t>
        </is>
      </c>
      <c r="I35" s="5" t="n"/>
      <c r="J35" s="5" t="n"/>
      <c r="K35" s="5" t="n"/>
      <c r="L35" s="5" t="n">
        <v>75</v>
      </c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7">
      <c r="A36" s="2" t="n">
        <v>35</v>
      </c>
      <c r="B36" s="2" t="inlineStr">
        <is>
          <t>Как перепаять разъём зарядки на плате</t>
        </is>
      </c>
      <c r="C36" s="2" t="inlineStr">
        <is>
          <t>Ремонт электроники</t>
        </is>
      </c>
      <c r="D36" s="2" t="inlineStr">
        <is>
          <t>kak-perepayat-razyom-zaryadki</t>
        </is>
      </c>
      <c r="E36" s="2" t="inlineStr">
        <is>
          <t>инструкция</t>
        </is>
      </c>
      <c r="F36" s="2" t="inlineStr">
        <is>
          <t>🟡 Средний</t>
        </is>
      </c>
      <c r="G36" s="2" t="inlineStr">
        <is>
          <t>не начато</t>
        </is>
      </c>
      <c r="H36" s="2" t="inlineStr">
        <is>
          <t>-&gt; #34 (/pajka-platy-telefona) [пайка плат телефонов]; -&gt; #37 (/kak-vypayat-detal-s-platy) [демонтаж разъёма]</t>
        </is>
      </c>
      <c r="I36" s="5" t="n"/>
      <c r="J36" s="5" t="n"/>
      <c r="K36" s="5" t="n"/>
      <c r="L36" s="5" t="n">
        <v>73</v>
      </c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7">
      <c r="A37" s="2" t="n">
        <v>36</v>
      </c>
      <c r="B37" s="2" t="inlineStr">
        <is>
          <t>Ремонт наушников своими руками: пайка проводов</t>
        </is>
      </c>
      <c r="C37" s="2" t="inlineStr">
        <is>
          <t>Ремонт электроники</t>
        </is>
      </c>
      <c r="D37" s="2" t="inlineStr">
        <is>
          <t>remont-naushnikov-pajka</t>
        </is>
      </c>
      <c r="E37" s="2" t="inlineStr">
        <is>
          <t>инструкция</t>
        </is>
      </c>
      <c r="F37" s="2" t="inlineStr">
        <is>
          <t>🟢 Низкий</t>
        </is>
      </c>
      <c r="G37" s="2" t="inlineStr">
        <is>
          <t>не начато</t>
        </is>
      </c>
      <c r="H37" s="2" t="inlineStr">
        <is>
          <t>-&gt; #3 (/pajka-provodov-kak-soedinit) [пайка тонких проводов]; -&gt; #50 (/termousadka-posle-pajki) [изоляция термоусадкой]</t>
        </is>
      </c>
      <c r="I37" s="5" t="n"/>
      <c r="J37" s="5" t="n"/>
      <c r="K37" s="5" t="n"/>
      <c r="L37" s="5" t="n">
        <v>73</v>
      </c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7">
      <c r="A38" s="2" t="n">
        <v>37</v>
      </c>
      <c r="B38" s="2" t="inlineStr">
        <is>
          <t>Как выпаять деталь с платы без повреждений</t>
        </is>
      </c>
      <c r="C38" s="2" t="inlineStr">
        <is>
          <t>Ремонт электроники</t>
        </is>
      </c>
      <c r="D38" s="2" t="inlineStr">
        <is>
          <t>kak-vypayat-detal-s-platy</t>
        </is>
      </c>
      <c r="E38" s="2" t="inlineStr">
        <is>
          <t>инструкция</t>
        </is>
      </c>
      <c r="F38" s="2" t="inlineStr">
        <is>
          <t>🟡 Средний</t>
        </is>
      </c>
      <c r="G38" s="2" t="inlineStr">
        <is>
          <t>не начато</t>
        </is>
      </c>
      <c r="H38" s="2" t="inlineStr">
        <is>
          <t>-&gt; #39 (/opletka-dlya-snyatiya-pripoya) [медная оплетка для демонтажа]; -&gt; #34 (/pajka-platy-telefona) [ремонт плат]</t>
        </is>
      </c>
      <c r="I38" s="5" t="n"/>
      <c r="J38" s="5" t="n"/>
      <c r="K38" s="5" t="n"/>
      <c r="L38" s="5" t="n">
        <v>73</v>
      </c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7">
      <c r="A39" s="2" t="n">
        <v>38</v>
      </c>
      <c r="B39" s="2" t="inlineStr">
        <is>
          <t>Держатель для пайки (третья рука): нужен ли и какой выбрать</t>
        </is>
      </c>
      <c r="C39" s="2" t="inlineStr">
        <is>
          <t>Аксессуары / Оснастка</t>
        </is>
      </c>
      <c r="D39" s="2" t="inlineStr">
        <is>
          <t>derzhatel-dlya-pajki-tretya-ruka</t>
        </is>
      </c>
      <c r="E39" s="2" t="inlineStr">
        <is>
          <t>buyer's guide</t>
        </is>
      </c>
      <c r="F39" s="2" t="inlineStr">
        <is>
          <t>🟢 Низкий</t>
        </is>
      </c>
      <c r="G39" s="2" t="inlineStr">
        <is>
          <t>не начато</t>
        </is>
      </c>
      <c r="H39" s="2" t="inlineStr">
        <is>
          <t>-&gt; #39 (/opletka-dlya-snyatiya-pripoya) [медная оплетка]; -&gt; #40 (/podstavka-i-gubka-dlya-payalnika) [подставка под паяльник]; -&gt; #53 (/vybor-mikroskopa-dlya-pajki) [микроскопы для пайки]</t>
        </is>
      </c>
      <c r="I39" s="5" t="n"/>
      <c r="J39" s="5" t="n"/>
      <c r="K39" s="5" t="n"/>
      <c r="L39" s="5" t="n">
        <v>62</v>
      </c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7">
      <c r="A40" s="2" t="n">
        <v>39</v>
      </c>
      <c r="B40" s="2" t="inlineStr">
        <is>
          <t>Оплётка для снятия припоя: как использовать правильно</t>
        </is>
      </c>
      <c r="C40" s="2" t="inlineStr">
        <is>
          <t>Аксессуары / Оснастка</t>
        </is>
      </c>
      <c r="D40" s="2" t="inlineStr">
        <is>
          <t>opletka-dlya-snyatiya-pripoya</t>
        </is>
      </c>
      <c r="E40" s="2" t="inlineStr">
        <is>
          <t>инструкция</t>
        </is>
      </c>
      <c r="F40" s="2" t="inlineStr">
        <is>
          <t>🟢 Низкий</t>
        </is>
      </c>
      <c r="G40" s="2" t="inlineStr">
        <is>
          <t>не начато</t>
        </is>
      </c>
      <c r="H40" s="2" t="inlineStr">
        <is>
          <t>-&gt; #38 (/derzhatel-dlya-pajki-tretya-ruka) [оснастка для пайки]; -&gt; #28 (/kak-ubrat-most-pripoya) [устранение мостиков припоя]</t>
        </is>
      </c>
      <c r="I40" s="5" t="n"/>
      <c r="J40" s="5" t="n"/>
      <c r="K40" s="5" t="n"/>
      <c r="L40" s="5" t="n">
        <v>64</v>
      </c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7">
      <c r="A41" s="2" t="n">
        <v>40</v>
      </c>
      <c r="B41" s="2" t="inlineStr">
        <is>
          <t>Подставка и губка для паяльника: зачем нужны</t>
        </is>
      </c>
      <c r="C41" s="2" t="inlineStr">
        <is>
          <t>Аксессуары / Оснастка</t>
        </is>
      </c>
      <c r="D41" s="2" t="inlineStr">
        <is>
          <t>podstavka-i-gubka-dlya-payalnika</t>
        </is>
      </c>
      <c r="E41" s="2" t="inlineStr">
        <is>
          <t>гайд</t>
        </is>
      </c>
      <c r="F41" s="2" t="inlineStr">
        <is>
          <t>🟢 Низкий</t>
        </is>
      </c>
      <c r="G41" s="2" t="inlineStr">
        <is>
          <t>не начато</t>
        </is>
      </c>
      <c r="H41" s="2" t="inlineStr">
        <is>
          <t>-&gt; #38 (/derzhatel-dlya-pajki-tretya-ruka) [оснастка]; -&gt; #42 (/kak-chistit-i-ludit-zhalo) [губка и стружка для очистки жала]</t>
        </is>
      </c>
      <c r="I41" s="5" t="n"/>
      <c r="J41" s="5" t="n"/>
      <c r="K41" s="5" t="n"/>
      <c r="L41" s="5" t="n">
        <v>59</v>
      </c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7">
      <c r="A42" s="2" t="n">
        <v>41</v>
      </c>
      <c r="B42" s="2" t="inlineStr">
        <is>
          <t>Жало для паяльника: типы, уход, когда менять</t>
        </is>
      </c>
      <c r="C42" s="2" t="inlineStr">
        <is>
          <t>Инструменты / Жала</t>
        </is>
      </c>
      <c r="D42" s="2" t="inlineStr">
        <is>
          <t>zhalo-dlya-payalnika-tipy</t>
        </is>
      </c>
      <c r="E42" s="2" t="inlineStr">
        <is>
          <t>гайд</t>
        </is>
      </c>
      <c r="F42" s="2" t="inlineStr">
        <is>
          <t>🟡 Средний</t>
        </is>
      </c>
      <c r="G42" s="2" t="inlineStr">
        <is>
          <t>не начато</t>
        </is>
      </c>
      <c r="H42" s="2" t="inlineStr">
        <is>
          <t>-&gt; #42 (/kak-chistit-i-ludit-zhalo) [чистка и лужение жала]; -&gt; #13 (/payalniki-t12-obzor) [жала системы T12]</t>
        </is>
      </c>
      <c r="I42" s="5" t="n"/>
      <c r="J42" s="5" t="n"/>
      <c r="K42" s="5" t="n"/>
      <c r="L42" s="5" t="n">
        <v>80</v>
      </c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7">
      <c r="A43" s="2" t="n">
        <v>42</v>
      </c>
      <c r="B43" s="2" t="inlineStr">
        <is>
          <t>Как правильно чистить и лудить жало паяльника</t>
        </is>
      </c>
      <c r="C43" s="2" t="inlineStr">
        <is>
          <t>Инструменты / Жала</t>
        </is>
      </c>
      <c r="D43" s="2" t="inlineStr">
        <is>
          <t>kak-chistit-i-ludit-zhalo</t>
        </is>
      </c>
      <c r="E43" s="2" t="inlineStr">
        <is>
          <t>инструкция</t>
        </is>
      </c>
      <c r="F43" s="2" t="inlineStr">
        <is>
          <t>🟡 Средний</t>
        </is>
      </c>
      <c r="G43" s="2" t="inlineStr">
        <is>
          <t>не начато</t>
        </is>
      </c>
      <c r="H43" s="2" t="inlineStr">
        <is>
          <t>-&gt; #41 (/zhalo-dlya-payalnika-tipy) [типы жал]; -&gt; #27 (/pripoj-ne-plavitsya-prichiny) [очистка почерневшего жала]</t>
        </is>
      </c>
      <c r="I43" s="5" t="n"/>
      <c r="J43" s="5" t="n"/>
      <c r="K43" s="5" t="n"/>
      <c r="L43" s="5" t="n">
        <v>80</v>
      </c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7">
      <c r="A44" s="2" t="n">
        <v>43</v>
      </c>
      <c r="B44" s="2" t="inlineStr">
        <is>
          <t>Техника безопасности при пайке: что важно соблюдать</t>
        </is>
      </c>
      <c r="C44" s="2" t="inlineStr">
        <is>
          <t>Безопасность</t>
        </is>
      </c>
      <c r="D44" s="2" t="inlineStr">
        <is>
          <t>tehnika-bezopasnosti-pri-pajke</t>
        </is>
      </c>
      <c r="E44" s="2" t="inlineStr">
        <is>
          <t>гайд</t>
        </is>
      </c>
      <c r="F44" s="2" t="inlineStr">
        <is>
          <t>🔴 Высокий</t>
        </is>
      </c>
      <c r="G44" s="2" t="inlineStr">
        <is>
          <t>не начато</t>
        </is>
      </c>
      <c r="H44" s="2" t="inlineStr">
        <is>
          <t>-&gt; #44 (/vreden-li-dym-ot-flyusa) [вред дыма от канифоли]; -&gt; #45 (/ventilyaciya-dlya-pajki) [вытяжка для пайки]; -&gt; #17 (/bessvincovyj-pripoj) [свинец в припое]</t>
        </is>
      </c>
      <c r="I44" s="5" t="n"/>
      <c r="J44" s="5" t="n"/>
      <c r="K44" s="5" t="n"/>
      <c r="L44" s="5" t="n">
        <v>78</v>
      </c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7">
      <c r="A45" s="2" t="n">
        <v>44</v>
      </c>
      <c r="B45" s="2" t="inlineStr">
        <is>
          <t>Вреден ли дым от флюса и как защититься</t>
        </is>
      </c>
      <c r="C45" s="2" t="inlineStr">
        <is>
          <t>Безопасность</t>
        </is>
      </c>
      <c r="D45" s="2" t="inlineStr">
        <is>
          <t>vreden-li-dym-ot-flyusa</t>
        </is>
      </c>
      <c r="E45" s="2" t="inlineStr">
        <is>
          <t>обучающий</t>
        </is>
      </c>
      <c r="F45" s="2" t="inlineStr">
        <is>
          <t>🟡 Средний</t>
        </is>
      </c>
      <c r="G45" s="2" t="inlineStr">
        <is>
          <t>не начато</t>
        </is>
      </c>
      <c r="H45" s="2" t="inlineStr">
        <is>
          <t>-&gt; #43 (/tehnika-bezopasnosti-pri-pajke) [техника безопасности]; -&gt; #45 (/ventilyaciya-dlya-pajki) [дымоуловитель для пайки]</t>
        </is>
      </c>
      <c r="I45" s="5" t="n"/>
      <c r="J45" s="5" t="n"/>
      <c r="K45" s="5" t="n"/>
      <c r="L45" s="5" t="n">
        <v>74</v>
      </c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7">
      <c r="A46" s="2" t="n">
        <v>45</v>
      </c>
      <c r="B46" s="2" t="inlineStr">
        <is>
          <t>Вентиляция и вытяжка для рабочего места пайки</t>
        </is>
      </c>
      <c r="C46" s="2" t="inlineStr">
        <is>
          <t>Безопасность</t>
        </is>
      </c>
      <c r="D46" s="2" t="inlineStr">
        <is>
          <t>ventilyaciya-dlya-pajki</t>
        </is>
      </c>
      <c r="E46" s="2" t="inlineStr">
        <is>
          <t>гайд</t>
        </is>
      </c>
      <c r="F46" s="2" t="inlineStr">
        <is>
          <t>🟢 Низкий</t>
        </is>
      </c>
      <c r="G46" s="2" t="inlineStr">
        <is>
          <t>не начато</t>
        </is>
      </c>
      <c r="H46" s="2" t="inlineStr">
        <is>
          <t>-&gt; #43 (/tehnika-bezopasnosti-pri-pajke) [безопасность дома]; -&gt; #46 (/kak-organizovat-mesto-dlya-pajki) [оборудование рабочего места]</t>
        </is>
      </c>
      <c r="I46" s="5" t="n"/>
      <c r="J46" s="5" t="n"/>
      <c r="K46" s="5" t="n"/>
      <c r="L46" s="5" t="n">
        <v>76</v>
      </c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7">
      <c r="A47" s="2" t="n">
        <v>46</v>
      </c>
      <c r="B47" s="2" t="inlineStr">
        <is>
          <t>Как организовать рабочее место для пайки дома</t>
        </is>
      </c>
      <c r="C47" s="2" t="inlineStr">
        <is>
          <t>Организация рабочего места</t>
        </is>
      </c>
      <c r="D47" s="2" t="inlineStr">
        <is>
          <t>kak-organizovat-mesto-dlya-pajki</t>
        </is>
      </c>
      <c r="E47" s="2" t="inlineStr">
        <is>
          <t>гайд</t>
        </is>
      </c>
      <c r="F47" s="2" t="inlineStr">
        <is>
          <t>🟡 Средний</t>
        </is>
      </c>
      <c r="G47" s="2" t="inlineStr">
        <is>
          <t>не начато</t>
        </is>
      </c>
      <c r="H47" s="2" t="inlineStr">
        <is>
          <t>-&gt; #47 (/nabor-instrumentov-dlya-nachinayuschih) [инструменты радиолюбителя]; -&gt; #45 (/ventilyaciya-dlya-pajki) [вентиляция и вытяжка]</t>
        </is>
      </c>
      <c r="I47" s="5" t="n"/>
      <c r="J47" s="5" t="n"/>
      <c r="K47" s="5" t="n"/>
      <c r="L47" s="5" t="n">
        <v>84</v>
      </c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7">
      <c r="A48" s="2" t="n">
        <v>47</v>
      </c>
      <c r="B48" s="2" t="inlineStr">
        <is>
          <t>Набор инструментов для начинающего радиолюбителя</t>
        </is>
      </c>
      <c r="C48" s="2" t="inlineStr">
        <is>
          <t>Организация рабочего места</t>
        </is>
      </c>
      <c r="D48" s="2" t="inlineStr">
        <is>
          <t>nabor-instrumentov-dlya-nachinayuschih</t>
        </is>
      </c>
      <c r="E48" s="2" t="inlineStr">
        <is>
          <t>buyer's guide</t>
        </is>
      </c>
      <c r="F48" s="2" t="inlineStr">
        <is>
          <t>🔴 Высокий</t>
        </is>
      </c>
      <c r="G48" s="2" t="inlineStr">
        <is>
          <t>не начато</t>
        </is>
      </c>
      <c r="H48" s="2" t="inlineStr">
        <is>
          <t>-&gt; #46 (/kak-organizovat-mesto-dlya-pajki) [организация рабочего места]; -&gt; #2 (/s-chego-nachat-pajku) [минимальный набор]; -&gt; #6 (/kakoj-payalnik-vybrat) [выбор паяльника]</t>
        </is>
      </c>
      <c r="I48" s="5" t="n"/>
      <c r="J48" s="5" t="n"/>
      <c r="K48" s="5" t="n"/>
      <c r="L48" s="5" t="n">
        <v>84</v>
      </c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7">
      <c r="A49" s="2" t="n">
        <v>48</v>
      </c>
      <c r="B49" s="2" t="inlineStr">
        <is>
          <t>Пайка алюминия: особенности и какой припой использовать</t>
        </is>
      </c>
      <c r="C49" s="2" t="inlineStr">
        <is>
          <t>Материалы / Специфичные</t>
        </is>
      </c>
      <c r="D49" s="2" t="inlineStr">
        <is>
          <t>pajka-alyuminiya-osobennosti</t>
        </is>
      </c>
      <c r="E49" s="2" t="inlineStr">
        <is>
          <t>гайд</t>
        </is>
      </c>
      <c r="F49" s="2" t="inlineStr">
        <is>
          <t>🟢 Низкий</t>
        </is>
      </c>
      <c r="G49" s="2" t="inlineStr">
        <is>
          <t>не начато</t>
        </is>
      </c>
      <c r="H49" s="2" t="inlineStr">
        <is>
          <t>-&gt; #22 (/aktivnyj-flyus-kak-smyt) [активный флюс для алюминия]; -&gt; #15 (/pripoj-dlya-pajki-vidy) [припой HTS-2000]</t>
        </is>
      </c>
      <c r="I49" s="5" t="n"/>
      <c r="J49" s="5" t="n"/>
      <c r="K49" s="5" t="n"/>
      <c r="L49" s="5" t="n">
        <v>59</v>
      </c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7">
      <c r="A50" s="2" t="n">
        <v>49</v>
      </c>
      <c r="B50" s="2" t="inlineStr">
        <is>
          <t>Пайка нержавейки: можно ли и как это сделать</t>
        </is>
      </c>
      <c r="C50" s="2" t="inlineStr">
        <is>
          <t>Материалы / Специфичные</t>
        </is>
      </c>
      <c r="D50" s="2" t="inlineStr">
        <is>
          <t>pajka-nerzhavejki</t>
        </is>
      </c>
      <c r="E50" s="2" t="inlineStr">
        <is>
          <t>гайд</t>
        </is>
      </c>
      <c r="F50" s="2" t="inlineStr">
        <is>
          <t>🟢 Низкий</t>
        </is>
      </c>
      <c r="G50" s="2" t="inlineStr">
        <is>
          <t>не начато</t>
        </is>
      </c>
      <c r="H50" s="2" t="inlineStr">
        <is>
          <t>-&gt; #22 (/aktivnyj-flyus-kak-smyt) [ортофосфорная кислота]; -&gt; #48 (/pajka-alyuminiya-osobennosti) [пайка сложных металлов]</t>
        </is>
      </c>
      <c r="I50" s="5" t="n"/>
      <c r="J50" s="5" t="n"/>
      <c r="K50" s="5" t="n"/>
      <c r="L50" s="5" t="n">
        <v>57</v>
      </c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7">
      <c r="A51" s="2" t="n">
        <v>50</v>
      </c>
      <c r="B51" s="2" t="inlineStr">
        <is>
          <t>Термоусадка после пайки: как использовать правильно</t>
        </is>
      </c>
      <c r="C51" s="2" t="inlineStr">
        <is>
          <t>Материалы / Специфичные</t>
        </is>
      </c>
      <c r="D51" s="2" t="inlineStr">
        <is>
          <t>termousadka-posle-pajki</t>
        </is>
      </c>
      <c r="E51" s="2" t="inlineStr">
        <is>
          <t>инструкция</t>
        </is>
      </c>
      <c r="F51" s="2" t="inlineStr">
        <is>
          <t>🟡 Средний</t>
        </is>
      </c>
      <c r="G51" s="2" t="inlineStr">
        <is>
          <t>не начато</t>
        </is>
      </c>
      <c r="H51" s="2" t="inlineStr">
        <is>
          <t>-&gt; #3 (/pajka-provodov-kak-soedinit) [пайка и изоляция проводов]; -&gt; #36 (/remont-naushnikov-pajka) [ремонт кабеля]</t>
        </is>
      </c>
      <c r="I51" s="5" t="n"/>
      <c r="J51" s="5" t="n"/>
      <c r="K51" s="5" t="n"/>
      <c r="L51" s="5" t="n">
        <v>59</v>
      </c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7">
      <c r="A52" s="2" t="n">
        <v>51</v>
      </c>
      <c r="B52" s="2" t="inlineStr">
        <is>
          <t>Пайка BGA микросхем для начинающих: что такое реболлинг и как его сделать</t>
        </is>
      </c>
      <c r="C52" s="2" t="inlineStr">
        <is>
          <t>BGA и Реболлинг</t>
        </is>
      </c>
      <c r="D52" s="2" t="inlineStr">
        <is>
          <t>payka-bga-rebolling-dlya-nachinayushchih</t>
        </is>
      </c>
      <c r="E52" s="2" t="inlineStr">
        <is>
          <t>гайд / инструкция</t>
        </is>
      </c>
      <c r="F52" s="2" t="inlineStr">
        <is>
          <t>🔴 Высокий</t>
        </is>
      </c>
      <c r="G52" s="2" t="inlineStr">
        <is>
          <t>не начато</t>
        </is>
      </c>
      <c r="H52" s="2" t="inlineStr">
        <is>
          <t>-&gt; #56 (/trafarety-i-shariki-dlya-bga) [накатка шаров на трафарете]; -&gt; #59 (/nizhnij-podogrev-dlya-pajki) [нижний подогрев для BGA]; -&gt; #52 (/payalnaya-pasta-ili-pripoj) [паяльная паста BGA]</t>
        </is>
      </c>
      <c r="I52" s="5" t="n"/>
      <c r="J52" s="5" t="n"/>
      <c r="K52" s="5" t="n"/>
      <c r="L52" s="5" t="n">
        <v>85</v>
      </c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7">
      <c r="A53" s="2" t="n">
        <v>52</v>
      </c>
      <c r="B53" s="2" t="inlineStr">
        <is>
          <t>Паяльная паста или припой в проволоке: что выбрать и в чём разница</t>
        </is>
      </c>
      <c r="C53" s="2" t="inlineStr">
        <is>
          <t>Паяльные пасты и химия</t>
        </is>
      </c>
      <c r="D53" s="2" t="inlineStr">
        <is>
          <t>payalnaya-pasta-ili-pripoj</t>
        </is>
      </c>
      <c r="E53" s="2" t="inlineStr">
        <is>
          <t>сравнение / гайд</t>
        </is>
      </c>
      <c r="F53" s="2" t="inlineStr">
        <is>
          <t>🔴 Высокий</t>
        </is>
      </c>
      <c r="G53" s="2" t="inlineStr">
        <is>
          <t>не начато</t>
        </is>
      </c>
      <c r="H53" s="2" t="inlineStr">
        <is>
          <t>-&gt; #15 (/pripoj-dlya-pajki-vidy) [проволочный припой]; -&gt; #55 (/kak-payat-payalnoj-pastoj-bez-fena) [пайка пастой дома]; -&gt; #20 (/flyus-dlya-pajki-kakoj-vybrat) [флюс-гели]</t>
        </is>
      </c>
      <c r="I53" s="5" t="n"/>
      <c r="J53" s="5" t="n"/>
      <c r="K53" s="5" t="n"/>
      <c r="L53" s="5" t="n">
        <v>79</v>
      </c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7">
      <c r="A54" s="2" t="n">
        <v>53</v>
      </c>
      <c r="B54" s="2" t="inlineStr">
        <is>
          <t>Как выбрать микроскоп для пайки плат: оптика vs цифра с HDMI/Type-C</t>
        </is>
      </c>
      <c r="C54" s="2" t="inlineStr">
        <is>
          <t>Оптические приборы / Микроскопы</t>
        </is>
      </c>
      <c r="D54" s="2" t="inlineStr">
        <is>
          <t>vybor-mikroskopa-dlya-pajki</t>
        </is>
      </c>
      <c r="E54" s="2" t="inlineStr">
        <is>
          <t>buyer's guide</t>
        </is>
      </c>
      <c r="F54" s="2" t="inlineStr">
        <is>
          <t>🟡 Средний</t>
        </is>
      </c>
      <c r="G54" s="2" t="inlineStr">
        <is>
          <t>не начато</t>
        </is>
      </c>
      <c r="H54" s="2" t="inlineStr">
        <is>
          <t>-&gt; #30 (/smd-pajka-svoimi-rukami) [пайка мелких планарных чипов]; -&gt; #38 (/derzhatel-dlya-pajki-tretya-ruka) [оснастка]</t>
        </is>
      </c>
      <c r="I54" s="5" t="n"/>
      <c r="J54" s="5" t="n"/>
      <c r="K54" s="5" t="n"/>
      <c r="L54" s="5" t="n">
        <v>67</v>
      </c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7">
      <c r="A55" s="2" t="n">
        <v>54</v>
      </c>
      <c r="B55" s="2" t="inlineStr">
        <is>
          <t>Смарт-паяльники на Type-C: обзор и сравнение TS101, Pinecil V2 и FNC88</t>
        </is>
      </c>
      <c r="C55" s="2" t="inlineStr">
        <is>
          <t>Смарт-паяльники Type-C</t>
        </is>
      </c>
      <c r="D55" s="2" t="inlineStr">
        <is>
          <t>smart-payalniki-type-c-obzor</t>
        </is>
      </c>
      <c r="E55" s="2" t="inlineStr">
        <is>
          <t>рейтинг / обзор</t>
        </is>
      </c>
      <c r="F55" s="2" t="inlineStr">
        <is>
          <t>🔴 Высокий</t>
        </is>
      </c>
      <c r="G55" s="2" t="inlineStr">
        <is>
          <t>Запустить</t>
        </is>
      </c>
      <c r="H55" s="2" t="inlineStr">
        <is>
          <t>-&gt; #6 (/kakoj-payalnik-vybrat) [выбор смарт-паяльника]; -&gt; #57 (/proshivka-ironos-dlya-payalnikov) [прошивка IronOS]; -&gt; #60 (/kak-payat-ot-powerbanka-pd-qc) [питание от Power Delivery]</t>
        </is>
      </c>
      <c r="I55" s="5" t="n"/>
      <c r="J55" s="5" t="n"/>
      <c r="K55" s="5" t="n"/>
      <c r="L55" s="5" t="n">
        <v>79</v>
      </c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7">
      <c r="A56" s="2" t="n">
        <v>55</v>
      </c>
      <c r="B56" s="2" t="inlineStr">
        <is>
          <t>Как паять паяльной пастой без фена и печи: пошаговый метод</t>
        </is>
      </c>
      <c r="C56" s="2" t="inlineStr">
        <is>
          <t>Паяльные пасты и химия</t>
        </is>
      </c>
      <c r="D56" s="2" t="inlineStr">
        <is>
          <t>kak-payat-payalnoj-pastoj-bez-fena</t>
        </is>
      </c>
      <c r="E56" s="2" t="inlineStr">
        <is>
          <t>инструкция</t>
        </is>
      </c>
      <c r="F56" s="2" t="inlineStr">
        <is>
          <t>🟡 Средний</t>
        </is>
      </c>
      <c r="G56" s="2" t="inlineStr">
        <is>
          <t>не начато</t>
        </is>
      </c>
      <c r="H56" s="2" t="inlineStr">
        <is>
          <t>-&gt; #52 (/payalnaya-pasta-ili-pripoj) [выбор паяльной пасты]; -&gt; #30 (/smd-pajka-svoimi-rukami) [ручной SMD монтаж]</t>
        </is>
      </c>
      <c r="I56" s="5" t="n"/>
      <c r="J56" s="5" t="n"/>
      <c r="K56" s="5" t="n"/>
      <c r="L56" s="5" t="n">
        <v>80</v>
      </c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7">
      <c r="A57" s="2" t="n">
        <v>56</v>
      </c>
      <c r="B57" s="2" t="inlineStr">
        <is>
          <t>Трафареты и шарики для BGA: как правильно накатать шары на чип</t>
        </is>
      </c>
      <c r="C57" s="2" t="inlineStr">
        <is>
          <t>BGA и Реболлинг</t>
        </is>
      </c>
      <c r="D57" s="2" t="inlineStr">
        <is>
          <t>trafarety-i-shariki-dlya-bga</t>
        </is>
      </c>
      <c r="E57" s="2" t="inlineStr">
        <is>
          <t>инструкция</t>
        </is>
      </c>
      <c r="F57" s="2" t="inlineStr">
        <is>
          <t>🟡 Средний</t>
        </is>
      </c>
      <c r="G57" s="2" t="inlineStr">
        <is>
          <t>не начато</t>
        </is>
      </c>
      <c r="H57" s="2" t="inlineStr">
        <is>
          <t>-&gt; #51 (/payka-bga-rebolling-dlya-nachinayushchih) [реболлинг BGA]; -&gt; #59 (/nizhnij-podogrev-dlya-pajki) [термостол]</t>
        </is>
      </c>
      <c r="I57" s="5" t="n"/>
      <c r="J57" s="5" t="n"/>
      <c r="K57" s="5" t="n"/>
      <c r="L57" s="5" t="n">
        <v>83</v>
      </c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7">
      <c r="A58" s="2" t="n">
        <v>57</v>
      </c>
      <c r="B58" s="2" t="inlineStr">
        <is>
          <t>Прошивка IronOS для паяльников TS100, TS101 и Pinecil: зачем менять и как настроить</t>
        </is>
      </c>
      <c r="C58" s="2" t="inlineStr">
        <is>
          <t>Смарт-паяльники Type-C</t>
        </is>
      </c>
      <c r="D58" s="2" t="inlineStr">
        <is>
          <t>proshivka-ironos-dlya-payalnikov</t>
        </is>
      </c>
      <c r="E58" s="2" t="inlineStr">
        <is>
          <t>обучающий / гайд</t>
        </is>
      </c>
      <c r="F58" s="2" t="inlineStr">
        <is>
          <t>🟢 Низкий</t>
        </is>
      </c>
      <c r="G58" s="2" t="inlineStr">
        <is>
          <t>не начато</t>
        </is>
      </c>
      <c r="H58" s="2" t="inlineStr">
        <is>
          <t>-&gt; #54 (/smart-payalniki-type-c-obzor) [смарт-паяльники TS101 и Pinecil]; -&gt; #60 (/kak-payat-ot-powerbanka-pd-qc) [настройка профилей мощности]</t>
        </is>
      </c>
      <c r="I58" s="5" t="n"/>
      <c r="J58" s="5" t="n"/>
      <c r="K58" s="5" t="n"/>
      <c r="L58" s="5" t="n">
        <v>75</v>
      </c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7">
      <c r="A59" s="2" t="n">
        <v>58</v>
      </c>
      <c r="B59" s="2" t="inlineStr">
        <is>
          <t>Ручная пайка мелких компонентов 0201 и 0402: технологии и инструменты</t>
        </is>
      </c>
      <c r="C59" s="2" t="inlineStr">
        <is>
          <t>Типы монтажа / SMD</t>
        </is>
      </c>
      <c r="D59" s="2" t="inlineStr">
        <is>
          <t>pajka-komponentov-0201-0402</t>
        </is>
      </c>
      <c r="E59" s="2" t="inlineStr">
        <is>
          <t>инструкция</t>
        </is>
      </c>
      <c r="F59" s="2" t="inlineStr">
        <is>
          <t>🟡 Средний</t>
        </is>
      </c>
      <c r="G59" s="2" t="inlineStr">
        <is>
          <t>не начато</t>
        </is>
      </c>
      <c r="H59" s="2" t="inlineStr">
        <is>
          <t>-&gt; #30 (/smd-pajka-svoimi-rukami) [базовый SMD монтаж]; -&gt; #53 (/vybor-mikroskopa-dlya-pajki) [микроскоп для мелких чипов]</t>
        </is>
      </c>
      <c r="I59" s="5" t="n"/>
      <c r="J59" s="5" t="n"/>
      <c r="K59" s="5" t="n"/>
      <c r="L59" s="5" t="n">
        <v>74</v>
      </c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7">
      <c r="A60" s="2" t="n">
        <v>59</v>
      </c>
      <c r="B60" s="2" t="inlineStr">
        <is>
          <t>Нижний подогрев для пайки плат: зачем нужен и как выбрать термостол</t>
        </is>
      </c>
      <c r="C60" s="2" t="inlineStr">
        <is>
          <t>BGA и Реболлинг</t>
        </is>
      </c>
      <c r="D60" s="2" t="inlineStr">
        <is>
          <t>nizhnij-podogrev-dlya-pajki</t>
        </is>
      </c>
      <c r="E60" s="2" t="inlineStr">
        <is>
          <t>гайд / выбор</t>
        </is>
      </c>
      <c r="F60" s="2" t="inlineStr">
        <is>
          <t>🟡 Средний</t>
        </is>
      </c>
      <c r="G60" s="2" t="inlineStr">
        <is>
          <t>не начато</t>
        </is>
      </c>
      <c r="H60" s="2" t="inlineStr">
        <is>
          <t>-&gt; #51 (/payka-bga-rebolling-dlya-nachinayushchih) [BGA монтаж]; -&gt; #56 (/trafarety-i-shariki-dlya-bga) [трафареты BGA]</t>
        </is>
      </c>
      <c r="I60" s="5" t="n"/>
      <c r="J60" s="5" t="n"/>
      <c r="K60" s="5" t="n"/>
      <c r="L60" s="5" t="n">
        <v>83</v>
      </c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7">
      <c r="A61" s="2" t="n">
        <v>60</v>
      </c>
      <c r="B61" s="2" t="inlineStr">
        <is>
          <t>Как паять от повербанка: протоколы Power Delivery (PD) и Quick Charge (QC)</t>
        </is>
      </c>
      <c r="C61" s="2" t="inlineStr">
        <is>
          <t>Смарт-паяльники Type-C</t>
        </is>
      </c>
      <c r="D61" s="2" t="inlineStr">
        <is>
          <t>kak-payat-ot-powerbanka-pd-qc</t>
        </is>
      </c>
      <c r="E61" s="2" t="inlineStr">
        <is>
          <t>гайд</t>
        </is>
      </c>
      <c r="F61" s="2" t="inlineStr">
        <is>
          <t>🟢 Низкий</t>
        </is>
      </c>
      <c r="G61" s="2" t="inlineStr">
        <is>
          <t>не начато</t>
        </is>
      </c>
      <c r="H61" s="2" t="inlineStr">
        <is>
          <t>-&gt; #54 (/smart-payalniki-type-c-obzor) [паяльники Type-C]; -&gt; #57 (/proshivka-ironos-dlya-payalnikov) [настройка параметров IronOS]</t>
        </is>
      </c>
      <c r="I61" s="5" t="n"/>
      <c r="J61" s="5" t="n"/>
      <c r="K61" s="5" t="n"/>
      <c r="L61" s="5" t="n">
        <v>75</v>
      </c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7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7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7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7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7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7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7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7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7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7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7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7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7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7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7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7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7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7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7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7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7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7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7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7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7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7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7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7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7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7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7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7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7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7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7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7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7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7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7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7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7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7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7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7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7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7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7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7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7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7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7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7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7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7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7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7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7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7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7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7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7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7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7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7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7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7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7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7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7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7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7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7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7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7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7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7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7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7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7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7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7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7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7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7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7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7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7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7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7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7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7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7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7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7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7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7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7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7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7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7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7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7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7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7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7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7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7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7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7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7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7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7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7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7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7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7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7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7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7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7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7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7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7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7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7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7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7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7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7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7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7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7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7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7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7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7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7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7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7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7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7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7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7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7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7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7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7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7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7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7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7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7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7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7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7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7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7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7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7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7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7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7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7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7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7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7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7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7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7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7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7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7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7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7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7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7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7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7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7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7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7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5.75" customHeight="1" s="17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5.75" customHeight="1" s="17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5.75" customHeight="1" s="17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5.75" customHeight="1" s="17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5.75" customHeight="1" s="17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5.75" customHeight="1" s="17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5.75" customHeight="1" s="17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5.75" customHeight="1" s="17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5.75" customHeight="1" s="17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5.75" customHeight="1" s="17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5.75" customHeight="1" s="17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5.75" customHeight="1" s="17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5.75" customHeight="1" s="17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5.75" customHeight="1" s="17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5.75" customHeight="1" s="17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5.75" customHeight="1" s="17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5.75" customHeight="1" s="17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5.75" customHeight="1" s="17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5.75" customHeight="1" s="17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5.75" customHeight="1" s="17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5.75" customHeight="1" s="17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5.75" customHeight="1" s="17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5.75" customHeight="1" s="17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5.75" customHeight="1" s="17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5.75" customHeight="1" s="17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5.75" customHeight="1" s="17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5.75" customHeight="1" s="17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5.75" customHeight="1" s="17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5.75" customHeight="1" s="17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5.75" customHeight="1" s="17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5.75" customHeight="1" s="17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5.75" customHeight="1" s="17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5.75" customHeight="1" s="17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5.75" customHeight="1" s="17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5.75" customHeight="1" s="17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5.75" customHeight="1" s="17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5.75" customHeight="1" s="17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5.75" customHeight="1" s="17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5.75" customHeight="1" s="17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5.75" customHeight="1" s="17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5.75" customHeight="1" s="17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5.75" customHeight="1" s="17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5.75" customHeight="1" s="17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5.75" customHeight="1" s="17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5.75" customHeight="1" s="17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5.75" customHeight="1" s="17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5.75" customHeight="1" s="17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5.75" customHeight="1" s="17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5.75" customHeight="1" s="17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5.75" customHeight="1" s="17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5.75" customHeight="1" s="17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5.75" customHeight="1" s="17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5.75" customHeight="1" s="17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5.75" customHeight="1" s="17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5.75" customHeight="1" s="17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5.75" customHeight="1" s="17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5.75" customHeight="1" s="17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5.75" customHeight="1" s="17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5.75" customHeight="1" s="17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5.75" customHeight="1" s="17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5.75" customHeight="1" s="17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5.75" customHeight="1" s="17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5.75" customHeight="1" s="17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5.75" customHeight="1" s="17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5.75" customHeight="1" s="17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5.75" customHeight="1" s="17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5.75" customHeight="1" s="17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5.75" customHeight="1" s="17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5.75" customHeight="1" s="17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5.75" customHeight="1" s="17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5.75" customHeight="1" s="17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5.75" customHeight="1" s="17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5.75" customHeight="1" s="17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5.75" customHeight="1" s="17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5.75" customHeight="1" s="17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5.75" customHeight="1" s="17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5.75" customHeight="1" s="17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5.75" customHeight="1" s="17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5.75" customHeight="1" s="17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5.75" customHeight="1" s="17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5.75" customHeight="1" s="17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5.75" customHeight="1" s="17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5.75" customHeight="1" s="17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5.75" customHeight="1" s="17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5.75" customHeight="1" s="17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5.75" customHeight="1" s="17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5.75" customHeight="1" s="17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5.75" customHeight="1" s="17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5.75" customHeight="1" s="17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5.75" customHeight="1" s="17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5.75" customHeight="1" s="17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5.75" customHeight="1" s="17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5.75" customHeight="1" s="17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5.75" customHeight="1" s="17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5.75" customHeight="1" s="17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5.75" customHeight="1" s="17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5.75" customHeight="1" s="17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5.75" customHeight="1" s="17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5.75" customHeight="1" s="17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5.75" customHeight="1" s="17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5.75" customHeight="1" s="17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5.75" customHeight="1" s="17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5.75" customHeight="1" s="17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5.75" customHeight="1" s="17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5.75" customHeight="1" s="17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5.75" customHeight="1" s="17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5.75" customHeight="1" s="17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5.75" customHeight="1" s="17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5.75" customHeight="1" s="17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5.75" customHeight="1" s="17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5.75" customHeight="1" s="17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5.75" customHeight="1" s="17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5.75" customHeight="1" s="17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5.75" customHeight="1" s="17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5.75" customHeight="1" s="17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5.75" customHeight="1" s="17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5.75" customHeight="1" s="17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5.75" customHeight="1" s="17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5.75" customHeight="1" s="17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5.75" customHeight="1" s="17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5.75" customHeight="1" s="17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5.75" customHeight="1" s="17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5.75" customHeight="1" s="17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5.75" customHeight="1" s="17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5.75" customHeight="1" s="17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5.75" customHeight="1" s="17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5.75" customHeight="1" s="17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5.75" customHeight="1" s="17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5.75" customHeight="1" s="17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5.75" customHeight="1" s="17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5.75" customHeight="1" s="17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5.75" customHeight="1" s="17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5.75" customHeight="1" s="17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5.75" customHeight="1" s="17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5.75" customHeight="1" s="17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5.75" customHeight="1" s="17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5.75" customHeight="1" s="17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5.75" customHeight="1" s="17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5.75" customHeight="1" s="17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5.75" customHeight="1" s="17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5.75" customHeight="1" s="17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5.75" customHeight="1" s="17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5.75" customHeight="1" s="17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5.75" customHeight="1" s="17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5.75" customHeight="1" s="17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5.75" customHeight="1" s="17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5.75" customHeight="1" s="17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5.75" customHeight="1" s="17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5.75" customHeight="1" s="17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5.75" customHeight="1" s="17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5.75" customHeight="1" s="17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5.75" customHeight="1" s="17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5.75" customHeight="1" s="17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5.75" customHeight="1" s="17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5.75" customHeight="1" s="17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5.75" customHeight="1" s="17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5.75" customHeight="1" s="17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5.75" customHeight="1" s="17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5.75" customHeight="1" s="17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5.75" customHeight="1" s="17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5.75" customHeight="1" s="17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5.75" customHeight="1" s="17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5.75" customHeight="1" s="17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5.75" customHeight="1" s="17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5.75" customHeight="1" s="17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5.75" customHeight="1" s="17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5.75" customHeight="1" s="17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5.75" customHeight="1" s="17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5.75" customHeight="1" s="17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5.75" customHeight="1" s="17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5.75" customHeight="1" s="17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5.75" customHeight="1" s="17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5.75" customHeight="1" s="17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5.75" customHeight="1" s="17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5.75" customHeight="1" s="17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5.75" customHeight="1" s="17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5.75" customHeight="1" s="17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5.75" customHeight="1" s="17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5.75" customHeight="1" s="17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5.75" customHeight="1" s="17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5.75" customHeight="1" s="17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5.75" customHeight="1" s="17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5.75" customHeight="1" s="17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5.75" customHeight="1" s="17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5.75" customHeight="1" s="17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5.75" customHeight="1" s="17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5.75" customHeight="1" s="17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5.75" customHeight="1" s="17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5.75" customHeight="1" s="17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5.75" customHeight="1" s="17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5.75" customHeight="1" s="17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5.75" customHeight="1" s="17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5.75" customHeight="1" s="17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5.75" customHeight="1" s="17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5.75" customHeight="1" s="17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5.75" customHeight="1" s="17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5.75" customHeight="1" s="17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5.75" customHeight="1" s="17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5.75" customHeight="1" s="17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5.75" customHeight="1" s="17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5.75" customHeight="1" s="17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5.75" customHeight="1" s="17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5.75" customHeight="1" s="17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5.75" customHeight="1" s="17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5.75" customHeight="1" s="17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5.75" customHeight="1" s="17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5.75" customHeight="1" s="17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5.75" customHeight="1" s="17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5.75" customHeight="1" s="17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5.75" customHeight="1" s="17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5.75" customHeight="1" s="17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5.75" customHeight="1" s="17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5.75" customHeight="1" s="17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5.75" customHeight="1" s="17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5.75" customHeight="1" s="17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5.75" customHeight="1" s="17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5.75" customHeight="1" s="17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5.75" customHeight="1" s="17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5.75" customHeight="1" s="17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5.75" customHeight="1" s="17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5.75" customHeight="1" s="17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5.75" customHeight="1" s="17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5.75" customHeight="1" s="17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5.75" customHeight="1" s="17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5.75" customHeight="1" s="17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5.75" customHeight="1" s="17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5.75" customHeight="1" s="17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5.75" customHeight="1" s="17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5.75" customHeight="1" s="17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5.75" customHeight="1" s="17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5.75" customHeight="1" s="17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5.75" customHeight="1" s="17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5.75" customHeight="1" s="17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5.75" customHeight="1" s="17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5.75" customHeight="1" s="17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5.75" customHeight="1" s="17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5.75" customHeight="1" s="17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5.75" customHeight="1" s="17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5.75" customHeight="1" s="17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5.75" customHeight="1" s="17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5.75" customHeight="1" s="17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5.75" customHeight="1" s="17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5.75" customHeight="1" s="17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5.75" customHeight="1" s="17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5.75" customHeight="1" s="17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5.75" customHeight="1" s="17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5.75" customHeight="1" s="17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5.75" customHeight="1" s="17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5.75" customHeight="1" s="17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5.75" customHeight="1" s="17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5.75" customHeight="1" s="17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5.75" customHeight="1" s="17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5.75" customHeight="1" s="17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5.75" customHeight="1" s="17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5.75" customHeight="1" s="17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5.75" customHeight="1" s="17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5.75" customHeight="1" s="17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5.75" customHeight="1" s="17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5.75" customHeight="1" s="17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5.75" customHeight="1" s="17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5.75" customHeight="1" s="17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5.75" customHeight="1" s="17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5.75" customHeight="1" s="17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5.75" customHeight="1" s="17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5.75" customHeight="1" s="17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5.75" customHeight="1" s="17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5.75" customHeight="1" s="17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5.75" customHeight="1" s="17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5.75" customHeight="1" s="17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5.75" customHeight="1" s="17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5.75" customHeight="1" s="17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5.75" customHeight="1" s="17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5.75" customHeight="1" s="17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5.75" customHeight="1" s="17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5.75" customHeight="1" s="17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5.75" customHeight="1" s="17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5.75" customHeight="1" s="17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5.75" customHeight="1" s="17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5.75" customHeight="1" s="17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5.75" customHeight="1" s="17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5.75" customHeight="1" s="17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5.75" customHeight="1" s="17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5.75" customHeight="1" s="17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5.75" customHeight="1" s="17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5.75" customHeight="1" s="17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5.75" customHeight="1" s="17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5.75" customHeight="1" s="17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5.75" customHeight="1" s="17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5.75" customHeight="1" s="17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5.75" customHeight="1" s="17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5.75" customHeight="1" s="17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5.75" customHeight="1" s="17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5.75" customHeight="1" s="17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5.75" customHeight="1" s="17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5.75" customHeight="1" s="17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5.75" customHeight="1" s="17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5.75" customHeight="1" s="17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5.75" customHeight="1" s="17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5.75" customHeight="1" s="17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5.75" customHeight="1" s="17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5.75" customHeight="1" s="17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5.75" customHeight="1" s="17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5.75" customHeight="1" s="17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5.75" customHeight="1" s="17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5.75" customHeight="1" s="17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5.75" customHeight="1" s="17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5.75" customHeight="1" s="17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5.75" customHeight="1" s="17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5.75" customHeight="1" s="17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5.75" customHeight="1" s="17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5.75" customHeight="1" s="17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5.75" customHeight="1" s="17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5.75" customHeight="1" s="17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5.75" customHeight="1" s="17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5.75" customHeight="1" s="17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5.75" customHeight="1" s="17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5.75" customHeight="1" s="17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5.75" customHeight="1" s="17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5.75" customHeight="1" s="17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5.75" customHeight="1" s="17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5.75" customHeight="1" s="17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5.75" customHeight="1" s="17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5.75" customHeight="1" s="17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5.75" customHeight="1" s="17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5.75" customHeight="1" s="17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5.75" customHeight="1" s="17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5.75" customHeight="1" s="17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5.75" customHeight="1" s="17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5.75" customHeight="1" s="17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5.75" customHeight="1" s="17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5.75" customHeight="1" s="17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5.75" customHeight="1" s="17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5.75" customHeight="1" s="17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5.75" customHeight="1" s="17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5.75" customHeight="1" s="17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5.75" customHeight="1" s="17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5.75" customHeight="1" s="17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5.75" customHeight="1" s="17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5.75" customHeight="1" s="17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5.75" customHeight="1" s="17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5.75" customHeight="1" s="17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5.75" customHeight="1" s="17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5.75" customHeight="1" s="17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5.75" customHeight="1" s="17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5.75" customHeight="1" s="17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5.75" customHeight="1" s="17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5.75" customHeight="1" s="17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5.75" customHeight="1" s="17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5.75" customHeight="1" s="17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5.75" customHeight="1" s="17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5.75" customHeight="1" s="17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5.75" customHeight="1" s="17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5.75" customHeight="1" s="17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5.75" customHeight="1" s="17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5.75" customHeight="1" s="17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5.75" customHeight="1" s="17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5.75" customHeight="1" s="17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5.75" customHeight="1" s="17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5.75" customHeight="1" s="17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5.75" customHeight="1" s="17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5.75" customHeight="1" s="17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5.75" customHeight="1" s="17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5.75" customHeight="1" s="17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5.75" customHeight="1" s="17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5.75" customHeight="1" s="17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5.75" customHeight="1" s="17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5.75" customHeight="1" s="17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5.75" customHeight="1" s="17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5.75" customHeight="1" s="17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5.75" customHeight="1" s="17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5.75" customHeight="1" s="17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5.75" customHeight="1" s="17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5.75" customHeight="1" s="17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5.75" customHeight="1" s="17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5.75" customHeight="1" s="17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5.75" customHeight="1" s="17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5.75" customHeight="1" s="17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5.75" customHeight="1" s="17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5.75" customHeight="1" s="17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5.75" customHeight="1" s="17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5.75" customHeight="1" s="17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5.75" customHeight="1" s="17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5.75" customHeight="1" s="17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5.75" customHeight="1" s="17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5.75" customHeight="1" s="17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5.75" customHeight="1" s="17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5.75" customHeight="1" s="17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5.75" customHeight="1" s="17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5.75" customHeight="1" s="17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5.75" customHeight="1" s="17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5.75" customHeight="1" s="17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5.75" customHeight="1" s="17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5.75" customHeight="1" s="17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5.75" customHeight="1" s="17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5.75" customHeight="1" s="17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5.75" customHeight="1" s="17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5.75" customHeight="1" s="17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5.75" customHeight="1" s="17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5.75" customHeight="1" s="17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5.75" customHeight="1" s="17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5.75" customHeight="1" s="17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5.75" customHeight="1" s="17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5.75" customHeight="1" s="17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5.75" customHeight="1" s="17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5.75" customHeight="1" s="17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5.75" customHeight="1" s="17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5.75" customHeight="1" s="17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5.75" customHeight="1" s="17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5.75" customHeight="1" s="17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5.75" customHeight="1" s="17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5.75" customHeight="1" s="17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5.75" customHeight="1" s="17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5.75" customHeight="1" s="17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5.75" customHeight="1" s="17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5.75" customHeight="1" s="17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5.75" customHeight="1" s="17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5.75" customHeight="1" s="17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5.75" customHeight="1" s="17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5.75" customHeight="1" s="17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5.75" customHeight="1" s="17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5.75" customHeight="1" s="17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5.75" customHeight="1" s="17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5.75" customHeight="1" s="17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5.75" customHeight="1" s="17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5.75" customHeight="1" s="17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5.75" customHeight="1" s="17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5.75" customHeight="1" s="17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5.75" customHeight="1" s="17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5.75" customHeight="1" s="17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5.75" customHeight="1" s="17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5.75" customHeight="1" s="17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5.75" customHeight="1" s="17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5.75" customHeight="1" s="17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5.75" customHeight="1" s="17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5.75" customHeight="1" s="17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5.75" customHeight="1" s="17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5.75" customHeight="1" s="17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5.75" customHeight="1" s="17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5.75" customHeight="1" s="17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5.75" customHeight="1" s="17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5.75" customHeight="1" s="17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5.75" customHeight="1" s="17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5.75" customHeight="1" s="17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5.75" customHeight="1" s="17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5.75" customHeight="1" s="17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5.75" customHeight="1" s="17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5.75" customHeight="1" s="17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5.75" customHeight="1" s="17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5.75" customHeight="1" s="17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5.75" customHeight="1" s="17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5.75" customHeight="1" s="17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5.75" customHeight="1" s="17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5.75" customHeight="1" s="17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5.75" customHeight="1" s="17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5.75" customHeight="1" s="17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5.75" customHeight="1" s="17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5.75" customHeight="1" s="17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5.75" customHeight="1" s="17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5.75" customHeight="1" s="17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5.75" customHeight="1" s="17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5.75" customHeight="1" s="17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5.75" customHeight="1" s="17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5.75" customHeight="1" s="17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5.75" customHeight="1" s="17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5.75" customHeight="1" s="17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5.75" customHeight="1" s="17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5.75" customHeight="1" s="17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5.75" customHeight="1" s="17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5.75" customHeight="1" s="17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5.75" customHeight="1" s="17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5.75" customHeight="1" s="17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5.75" customHeight="1" s="17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5.75" customHeight="1" s="17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5.75" customHeight="1" s="17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5.75" customHeight="1" s="17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5.75" customHeight="1" s="17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5.75" customHeight="1" s="17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5.75" customHeight="1" s="17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5.75" customHeight="1" s="17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5.75" customHeight="1" s="17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5.75" customHeight="1" s="17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5.75" customHeight="1" s="17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5.75" customHeight="1" s="17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5.75" customHeight="1" s="17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5.75" customHeight="1" s="17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5.75" customHeight="1" s="17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5.75" customHeight="1" s="17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5.75" customHeight="1" s="17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5.75" customHeight="1" s="17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5.75" customHeight="1" s="17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5.75" customHeight="1" s="17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5.75" customHeight="1" s="17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5.75" customHeight="1" s="17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5.75" customHeight="1" s="17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5.75" customHeight="1" s="17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5.75" customHeight="1" s="17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5.75" customHeight="1" s="17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5.75" customHeight="1" s="17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5.75" customHeight="1" s="17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5.75" customHeight="1" s="17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5.75" customHeight="1" s="17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5.75" customHeight="1" s="17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5.75" customHeight="1" s="17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5.75" customHeight="1" s="17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5.75" customHeight="1" s="17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5.75" customHeight="1" s="17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5.75" customHeight="1" s="17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5.75" customHeight="1" s="17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5.75" customHeight="1" s="17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5.75" customHeight="1" s="17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5.75" customHeight="1" s="17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5.75" customHeight="1" s="17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5.75" customHeight="1" s="17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5.75" customHeight="1" s="17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5.75" customHeight="1" s="17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5.75" customHeight="1" s="17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5.75" customHeight="1" s="17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5.75" customHeight="1" s="17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5.75" customHeight="1" s="17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5.75" customHeight="1" s="17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5.75" customHeight="1" s="17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5.75" customHeight="1" s="17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5.75" customHeight="1" s="17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5.75" customHeight="1" s="17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5.75" customHeight="1" s="17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5.75" customHeight="1" s="17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5.75" customHeight="1" s="17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5.75" customHeight="1" s="17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5.75" customHeight="1" s="17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5.75" customHeight="1" s="17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5.75" customHeight="1" s="17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5.75" customHeight="1" s="17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5.75" customHeight="1" s="17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5.75" customHeight="1" s="17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5.75" customHeight="1" s="17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5.75" customHeight="1" s="17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5.75" customHeight="1" s="17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5.75" customHeight="1" s="17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5.75" customHeight="1" s="17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5.75" customHeight="1" s="17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5.75" customHeight="1" s="17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5.75" customHeight="1" s="17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5.75" customHeight="1" s="17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5.75" customHeight="1" s="17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5.75" customHeight="1" s="17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5.75" customHeight="1" s="17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5.75" customHeight="1" s="17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5.75" customHeight="1" s="17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5.75" customHeight="1" s="17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5.75" customHeight="1" s="17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5.75" customHeight="1" s="17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5.75" customHeight="1" s="17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5.75" customHeight="1" s="17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5.75" customHeight="1" s="17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5.75" customHeight="1" s="17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5.75" customHeight="1" s="17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5.75" customHeight="1" s="17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5.75" customHeight="1" s="17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5.75" customHeight="1" s="17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5.75" customHeight="1" s="17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5.75" customHeight="1" s="17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5.75" customHeight="1" s="17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5.75" customHeight="1" s="17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5.75" customHeight="1" s="17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5.75" customHeight="1" s="17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5.75" customHeight="1" s="17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5.75" customHeight="1" s="17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5.75" customHeight="1" s="17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5.75" customHeight="1" s="17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5.75" customHeight="1" s="17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5.75" customHeight="1" s="17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5.75" customHeight="1" s="17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5.75" customHeight="1" s="17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5.75" customHeight="1" s="17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5.75" customHeight="1" s="17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5.75" customHeight="1" s="17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5.75" customHeight="1" s="17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5.75" customHeight="1" s="17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5.75" customHeight="1" s="17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5.75" customHeight="1" s="17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5.75" customHeight="1" s="17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5.75" customHeight="1" s="17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5.75" customHeight="1" s="17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5.75" customHeight="1" s="17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5.75" customHeight="1" s="17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5.75" customHeight="1" s="17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5.75" customHeight="1" s="17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5.75" customHeight="1" s="17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5.75" customHeight="1" s="17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5.75" customHeight="1" s="17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5.75" customHeight="1" s="17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5.75" customHeight="1" s="17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5.75" customHeight="1" s="17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5.75" customHeight="1" s="17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5.75" customHeight="1" s="17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5.75" customHeight="1" s="17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5.75" customHeight="1" s="17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5.75" customHeight="1" s="17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5.75" customHeight="1" s="17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5.75" customHeight="1" s="17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5.75" customHeight="1" s="17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5.75" customHeight="1" s="17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5.75" customHeight="1" s="17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5.75" customHeight="1" s="17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5.75" customHeight="1" s="17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5.75" customHeight="1" s="17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5.75" customHeight="1" s="17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5.75" customHeight="1" s="17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5.75" customHeight="1" s="17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5.75" customHeight="1" s="17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5.75" customHeight="1" s="17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5.75" customHeight="1" s="17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5.75" customHeight="1" s="17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5.75" customHeight="1" s="17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5.75" customHeight="1" s="17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5.75" customHeight="1" s="17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5.75" customHeight="1" s="17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5.75" customHeight="1" s="17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5.75" customHeight="1" s="17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5.75" customHeight="1" s="17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5.75" customHeight="1" s="17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5.75" customHeight="1" s="17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5.75" customHeight="1" s="17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5.75" customHeight="1" s="17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5.75" customHeight="1" s="17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5.75" customHeight="1" s="17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5.75" customHeight="1" s="17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5.75" customHeight="1" s="17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5.75" customHeight="1" s="17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5.75" customHeight="1" s="17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5.75" customHeight="1" s="17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5.75" customHeight="1" s="17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5.75" customHeight="1" s="17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5.75" customHeight="1" s="17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5.75" customHeight="1" s="17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5.75" customHeight="1" s="17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5.75" customHeight="1" s="17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5.75" customHeight="1" s="17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5.75" customHeight="1" s="17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5.75" customHeight="1" s="17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5.75" customHeight="1" s="17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5.75" customHeight="1" s="17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5.75" customHeight="1" s="17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5.75" customHeight="1" s="17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5.75" customHeight="1" s="17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5.75" customHeight="1" s="17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5.75" customHeight="1" s="17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5.75" customHeight="1" s="17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5.75" customHeight="1" s="17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5.75" customHeight="1" s="17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5.75" customHeight="1" s="17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5.75" customHeight="1" s="17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5.75" customHeight="1" s="17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5.75" customHeight="1" s="17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5.75" customHeight="1" s="17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5.75" customHeight="1" s="17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5.75" customHeight="1" s="17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5.75" customHeight="1" s="17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5.75" customHeight="1" s="17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5.75" customHeight="1" s="17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5.75" customHeight="1" s="17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5.75" customHeight="1" s="17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5.75" customHeight="1" s="17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5.75" customHeight="1" s="17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5.75" customHeight="1" s="17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5.75" customHeight="1" s="17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5.75" customHeight="1" s="17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5.75" customHeight="1" s="17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5.75" customHeight="1" s="17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5.75" customHeight="1" s="17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5.75" customHeight="1" s="17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5.75" customHeight="1" s="17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5.75" customHeight="1" s="17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5.75" customHeight="1" s="17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5.75" customHeight="1" s="17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5.75" customHeight="1" s="17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5.75" customHeight="1" s="17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5.75" customHeight="1" s="17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5.75" customHeight="1" s="17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5.75" customHeight="1" s="17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5.75" customHeight="1" s="17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5.75" customHeight="1" s="17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5.75" customHeight="1" s="17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5.75" customHeight="1" s="17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5.75" customHeight="1" s="17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5.75" customHeight="1" s="17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5.75" customHeight="1" s="17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5.75" customHeight="1" s="17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5.75" customHeight="1" s="17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5.75" customHeight="1" s="17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5.75" customHeight="1" s="17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5.75" customHeight="1" s="17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5.75" customHeight="1" s="17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5.75" customHeight="1" s="17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5.75" customHeight="1" s="17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5.75" customHeight="1" s="17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5.75" customHeight="1" s="17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5.75" customHeight="1" s="17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5.75" customHeight="1" s="17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5.75" customHeight="1" s="17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5.75" customHeight="1" s="17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5.75" customHeight="1" s="17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5.75" customHeight="1" s="17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5.75" customHeight="1" s="17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5.75" customHeight="1" s="17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5.75" customHeight="1" s="17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5.75" customHeight="1" s="17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5.75" customHeight="1" s="17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5.75" customHeight="1" s="17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5.75" customHeight="1" s="17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5.75" customHeight="1" s="17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5.75" customHeight="1" s="17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5.75" customHeight="1" s="17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5.75" customHeight="1" s="17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5.75" customHeight="1" s="17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5.75" customHeight="1" s="17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5.75" customHeight="1" s="17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5.75" customHeight="1" s="17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5.75" customHeight="1" s="17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5.75" customHeight="1" s="17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5.75" customHeight="1" s="17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5.75" customHeight="1" s="17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5.75" customHeight="1" s="17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5.75" customHeight="1" s="17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5.75" customHeight="1" s="17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5.75" customHeight="1" s="17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5.75" customHeight="1" s="17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5.75" customHeight="1" s="17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5.75" customHeight="1" s="17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5.75" customHeight="1" s="17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5.75" customHeight="1" s="17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5.75" customHeight="1" s="17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5.75" customHeight="1" s="17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5.75" customHeight="1" s="17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5.75" customHeight="1" s="17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5.75" customHeight="1" s="17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5.75" customHeight="1" s="17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5.75" customHeight="1" s="17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dataValidations count="1">
    <dataValidation sqref="G2:G61" showDropDown="0" showInputMessage="0" showErrorMessage="0" allowBlank="0" type="list">
      <formula1>"не начато,готов к написанию,написано,опубликовано,Запустить"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7" min="1" max="1"/>
    <col width="41.86" customWidth="1" style="17" min="2" max="2"/>
    <col width="8.710000000000001" customWidth="1" style="17" min="3" max="4"/>
    <col width="32.71" customWidth="1" style="17" min="5" max="5"/>
    <col width="31" customWidth="1" style="17" min="6" max="6"/>
    <col width="33.86" customWidth="1" style="17" min="7" max="7"/>
  </cols>
  <sheetData>
    <row r="1">
      <c r="A1" s="2" t="inlineStr">
        <is>
          <t>ID_источника</t>
        </is>
      </c>
      <c r="B1" s="2" t="inlineStr">
        <is>
          <t>заголовок_источника</t>
        </is>
      </c>
      <c r="C1" s="2" t="inlineStr">
        <is>
          <t>slug_источника</t>
        </is>
      </c>
      <c r="D1" s="2" t="inlineStr">
        <is>
          <t>ID_цели</t>
        </is>
      </c>
      <c r="E1" s="2" t="inlineStr">
        <is>
          <t>slug_цели</t>
        </is>
      </c>
      <c r="F1" s="2" t="inlineStr">
        <is>
          <t>анкорный_текст</t>
        </is>
      </c>
      <c r="G1" s="2" t="inlineStr">
        <is>
          <t>тип_связи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2" t="n">
        <v>1</v>
      </c>
      <c r="B2" s="2" t="inlineStr">
        <is>
          <t>Как паять паяльником: пошаговый гайд для начинающих</t>
        </is>
      </c>
      <c r="C2" s="2" t="inlineStr">
        <is>
          <t>kak-payat-payalnikom-dlya-nachinayuschih</t>
        </is>
      </c>
      <c r="D2" s="2" t="n">
        <v>2</v>
      </c>
      <c r="E2" s="2" t="inlineStr">
        <is>
          <t>s-chego-nachat-pajku</t>
        </is>
      </c>
      <c r="F2" s="2" t="inlineStr">
        <is>
          <t>что купить новичку</t>
        </is>
      </c>
      <c r="G2" s="2" t="inlineStr">
        <is>
          <t>Контекстная перелинковка</t>
        </is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2" t="n">
        <v>1</v>
      </c>
      <c r="B3" s="2" t="inlineStr">
        <is>
          <t>Как паять паяльником: пошаговый гайд для начинающих</t>
        </is>
      </c>
      <c r="C3" s="2" t="inlineStr">
        <is>
          <t>kak-payat-payalnikom-dlya-nachinayuschih</t>
        </is>
      </c>
      <c r="D3" s="2" t="n">
        <v>15</v>
      </c>
      <c r="E3" s="2" t="inlineStr">
        <is>
          <t>pripoj-dlya-pajki-vidy</t>
        </is>
      </c>
      <c r="F3" s="2" t="inlineStr">
        <is>
          <t>выбор припоя ПОС-61</t>
        </is>
      </c>
      <c r="G3" s="2" t="inlineStr">
        <is>
          <t>Контекстная перелинковка</t>
        </is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2" t="n">
        <v>1</v>
      </c>
      <c r="B4" s="2" t="inlineStr">
        <is>
          <t>Как паять паяльником: пошаговый гайд для начинающих</t>
        </is>
      </c>
      <c r="C4" s="2" t="inlineStr">
        <is>
          <t>kak-payat-payalnikom-dlya-nachinayuschih</t>
        </is>
      </c>
      <c r="D4" s="2" t="n">
        <v>20</v>
      </c>
      <c r="E4" s="2" t="inlineStr">
        <is>
          <t>flyus-dlya-pajki-kakoj-vybrat</t>
        </is>
      </c>
      <c r="F4" s="2" t="inlineStr">
        <is>
          <t>применение флюса</t>
        </is>
      </c>
      <c r="G4" s="2" t="inlineStr">
        <is>
          <t>Контекстная перелинковка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2" t="n">
        <v>1</v>
      </c>
      <c r="B5" s="2" t="inlineStr">
        <is>
          <t>Как паять паяльником: пошаговый гайд для начинающих</t>
        </is>
      </c>
      <c r="C5" s="2" t="inlineStr">
        <is>
          <t>kak-payat-payalnikom-dlya-nachinayuschih</t>
        </is>
      </c>
      <c r="D5" s="2" t="n">
        <v>25</v>
      </c>
      <c r="E5" s="2" t="inlineStr">
        <is>
          <t>oshibki-novichka-pri-pajke</t>
        </is>
      </c>
      <c r="F5" s="2" t="inlineStr">
        <is>
          <t>типичные ошибки новичков</t>
        </is>
      </c>
      <c r="G5" s="2" t="inlineStr">
        <is>
          <t>Контекстная перелинковка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2" t="n">
        <v>2</v>
      </c>
      <c r="B6" s="2" t="inlineStr">
        <is>
          <t>С чего начать пайку: что нужно новичку</t>
        </is>
      </c>
      <c r="C6" s="2" t="inlineStr">
        <is>
          <t>s-chego-nachat-pajku</t>
        </is>
      </c>
      <c r="D6" s="2" t="n">
        <v>1</v>
      </c>
      <c r="E6" s="2" t="inlineStr">
        <is>
          <t>kak-payat-payalnikom-dlya-nachinayuschih</t>
        </is>
      </c>
      <c r="F6" s="2" t="inlineStr">
        <is>
          <t>пошаговая техника пайки</t>
        </is>
      </c>
      <c r="G6" s="2" t="inlineStr">
        <is>
          <t>Контекстная перелинковка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2" t="n">
        <v>2</v>
      </c>
      <c r="B7" s="2" t="inlineStr">
        <is>
          <t>С чего начать пайку: что нужно новичку</t>
        </is>
      </c>
      <c r="C7" s="2" t="inlineStr">
        <is>
          <t>s-chego-nachat-pajku</t>
        </is>
      </c>
      <c r="D7" s="2" t="n">
        <v>6</v>
      </c>
      <c r="E7" s="2" t="inlineStr">
        <is>
          <t>kakoj-payalnik-vybrat</t>
        </is>
      </c>
      <c r="F7" s="2" t="inlineStr">
        <is>
          <t>как выбрать паяльник</t>
        </is>
      </c>
      <c r="G7" s="2" t="inlineStr">
        <is>
          <t>Контекстная перелинковка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2" t="n">
        <v>2</v>
      </c>
      <c r="B8" s="2" t="inlineStr">
        <is>
          <t>С чего начать пайку: что нужно новичку</t>
        </is>
      </c>
      <c r="C8" s="2" t="inlineStr">
        <is>
          <t>s-chego-nachat-pajku</t>
        </is>
      </c>
      <c r="D8" s="2" t="n">
        <v>47</v>
      </c>
      <c r="E8" s="2" t="inlineStr">
        <is>
          <t>nabor-instrumentov-dlya-nachinayuschih</t>
        </is>
      </c>
      <c r="F8" s="2" t="inlineStr">
        <is>
          <t>набор инструментов радиолюбителя</t>
        </is>
      </c>
      <c r="G8" s="2" t="inlineStr">
        <is>
          <t>Контекстная перелинковка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2" t="n">
        <v>3</v>
      </c>
      <c r="B9" s="2" t="inlineStr">
        <is>
          <t>Пайка проводов: как правильно соединить и изолировать</t>
        </is>
      </c>
      <c r="C9" s="2" t="inlineStr">
        <is>
          <t>pajka-provodov-kak-soedinit</t>
        </is>
      </c>
      <c r="D9" s="2" t="n">
        <v>1</v>
      </c>
      <c r="E9" s="2" t="inlineStr">
        <is>
          <t>kak-payat-payalnikom-dlya-nachinayuschih</t>
        </is>
      </c>
      <c r="F9" s="2" t="inlineStr">
        <is>
          <t>базовый гайд по пайке</t>
        </is>
      </c>
      <c r="G9" s="2" t="inlineStr">
        <is>
          <t>Контекстная перелинковка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2" t="n">
        <v>3</v>
      </c>
      <c r="B10" s="2" t="inlineStr">
        <is>
          <t>Пайка проводов: как правильно соединить и изолировать</t>
        </is>
      </c>
      <c r="C10" s="2" t="inlineStr">
        <is>
          <t>pajka-provodov-kak-soedinit</t>
        </is>
      </c>
      <c r="D10" s="2" t="n">
        <v>15</v>
      </c>
      <c r="E10" s="2" t="inlineStr">
        <is>
          <t>pripoj-dlya-pajki-vidy</t>
        </is>
      </c>
      <c r="F10" s="2" t="inlineStr">
        <is>
          <t>припой для медных жил</t>
        </is>
      </c>
      <c r="G10" s="2" t="inlineStr">
        <is>
          <t>Контекстная перелинковка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" t="n">
        <v>3</v>
      </c>
      <c r="B11" s="2" t="inlineStr">
        <is>
          <t>Пайка проводов: как правильно соединить и изолировать</t>
        </is>
      </c>
      <c r="C11" s="2" t="inlineStr">
        <is>
          <t>pajka-provodov-kak-soedinit</t>
        </is>
      </c>
      <c r="D11" s="2" t="n">
        <v>50</v>
      </c>
      <c r="E11" s="2" t="inlineStr">
        <is>
          <t>termousadka-posle-pajki</t>
        </is>
      </c>
      <c r="F11" s="2" t="inlineStr">
        <is>
          <t>изоляция термоусадкой</t>
        </is>
      </c>
      <c r="G11" s="2" t="inlineStr">
        <is>
          <t>Контекстная перелинковка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2" t="n">
        <v>4</v>
      </c>
      <c r="B12" s="2" t="inlineStr">
        <is>
          <t>Как научиться паять быстро и без брака</t>
        </is>
      </c>
      <c r="C12" s="2" t="inlineStr">
        <is>
          <t>kak-nauchitsya-payat-bystro</t>
        </is>
      </c>
      <c r="D12" s="2" t="n">
        <v>1</v>
      </c>
      <c r="E12" s="2" t="inlineStr">
        <is>
          <t>kak-payat-payalnikom-dlya-nachinayuschih</t>
        </is>
      </c>
      <c r="F12" s="2" t="inlineStr">
        <is>
          <t>пошаговый алгоритм</t>
        </is>
      </c>
      <c r="G12" s="2" t="inlineStr">
        <is>
          <t>Контекстная перелинковка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2" t="n">
        <v>4</v>
      </c>
      <c r="B13" s="2" t="inlineStr">
        <is>
          <t>Как научиться паять быстро и без брака</t>
        </is>
      </c>
      <c r="C13" s="2" t="inlineStr">
        <is>
          <t>kak-nauchitsya-payat-bystro</t>
        </is>
      </c>
      <c r="D13" s="2" t="n">
        <v>25</v>
      </c>
      <c r="E13" s="2" t="inlineStr">
        <is>
          <t>oshibki-novichka-pri-pajke</t>
        </is>
      </c>
      <c r="F13" s="2" t="inlineStr">
        <is>
          <t>причины брака</t>
        </is>
      </c>
      <c r="G13" s="2" t="inlineStr">
        <is>
          <t>Контекстная перелинковка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2" t="n">
        <v>4</v>
      </c>
      <c r="B14" s="2" t="inlineStr">
        <is>
          <t>Как научиться паять быстро и без брака</t>
        </is>
      </c>
      <c r="C14" s="2" t="inlineStr">
        <is>
          <t>kak-nauchitsya-payat-bystro</t>
        </is>
      </c>
      <c r="D14" s="2" t="n">
        <v>42</v>
      </c>
      <c r="E14" s="2" t="inlineStr">
        <is>
          <t>kak-chistit-i-ludit-zhalo</t>
        </is>
      </c>
      <c r="F14" s="2" t="inlineStr">
        <is>
          <t>лужение жала</t>
        </is>
      </c>
      <c r="G14" s="2" t="inlineStr">
        <is>
          <t>Контекстная перелинковка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2" t="n">
        <v>5</v>
      </c>
      <c r="B15" s="2" t="inlineStr">
        <is>
          <t>Пайка для детей: безопасное обучение основам</t>
        </is>
      </c>
      <c r="C15" s="2" t="inlineStr">
        <is>
          <t>pajka-dlya-detej-bezopasnost</t>
        </is>
      </c>
      <c r="D15" s="2" t="n">
        <v>8</v>
      </c>
      <c r="E15" s="2" t="inlineStr">
        <is>
          <t>moschnost-payalnika-dlya-zadach</t>
        </is>
      </c>
      <c r="F15" s="2" t="inlineStr">
        <is>
          <t>маломощный паяльник</t>
        </is>
      </c>
      <c r="G15" s="2" t="inlineStr">
        <is>
          <t>Контекстная перелинковка</t>
        </is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2" t="n">
        <v>5</v>
      </c>
      <c r="B16" s="2" t="inlineStr">
        <is>
          <t>Пайка для детей: безопасное обучение основам</t>
        </is>
      </c>
      <c r="C16" s="2" t="inlineStr">
        <is>
          <t>pajka-dlya-detej-bezopasnost</t>
        </is>
      </c>
      <c r="D16" s="2" t="n">
        <v>43</v>
      </c>
      <c r="E16" s="2" t="inlineStr">
        <is>
          <t>tehnika-bezopasnosti-pri-pajke</t>
        </is>
      </c>
      <c r="F16" s="2" t="inlineStr">
        <is>
          <t>техника безопасности</t>
        </is>
      </c>
      <c r="G16" s="2" t="inlineStr">
        <is>
          <t>Контекстная перелинковка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2" t="n">
        <v>6</v>
      </c>
      <c r="B17" s="2" t="inlineStr">
        <is>
          <t>Какой паяльник выбрать: советы для новичка в 2026 году</t>
        </is>
      </c>
      <c r="C17" s="2" t="inlineStr">
        <is>
          <t>kakoj-payalnik-vybrat</t>
        </is>
      </c>
      <c r="D17" s="2" t="n">
        <v>7</v>
      </c>
      <c r="E17" s="2" t="inlineStr">
        <is>
          <t>payalnaya-stanciya-ili-payalnik</t>
        </is>
      </c>
      <c r="F17" s="2" t="inlineStr">
        <is>
          <t>паяльник или станция</t>
        </is>
      </c>
      <c r="G17" s="2" t="inlineStr">
        <is>
          <t>Контекстная перелинковка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2" t="n">
        <v>6</v>
      </c>
      <c r="B18" s="2" t="inlineStr">
        <is>
          <t>Какой паяльник выбрать: советы для новичка в 2026 году</t>
        </is>
      </c>
      <c r="C18" s="2" t="inlineStr">
        <is>
          <t>kakoj-payalnik-vybrat</t>
        </is>
      </c>
      <c r="D18" s="2" t="n">
        <v>8</v>
      </c>
      <c r="E18" s="2" t="inlineStr">
        <is>
          <t>moschnost-payalnika-dlya-zadach</t>
        </is>
      </c>
      <c r="F18" s="2" t="inlineStr">
        <is>
          <t>подбор мощности</t>
        </is>
      </c>
      <c r="G18" s="2" t="inlineStr">
        <is>
          <t>Контекстная перелинковка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2" t="n">
        <v>6</v>
      </c>
      <c r="B19" s="2" t="inlineStr">
        <is>
          <t>Какой паяльник выбрать: советы для новичка в 2026 году</t>
        </is>
      </c>
      <c r="C19" s="2" t="inlineStr">
        <is>
          <t>kakoj-payalnik-vybrat</t>
        </is>
      </c>
      <c r="D19" s="2" t="n">
        <v>11</v>
      </c>
      <c r="E19" s="2" t="inlineStr">
        <is>
          <t>luchshie-payalniki-dlya-doma</t>
        </is>
      </c>
      <c r="F19" s="2" t="inlineStr">
        <is>
          <t>ТОП паяльников 2026</t>
        </is>
      </c>
      <c r="G19" s="2" t="inlineStr">
        <is>
          <t>Контекстная перелинковка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2" t="n">
        <v>6</v>
      </c>
      <c r="B20" s="2" t="inlineStr">
        <is>
          <t>Какой паяльник выбрать: советы для новичка в 2026 году</t>
        </is>
      </c>
      <c r="C20" s="2" t="inlineStr">
        <is>
          <t>kakoj-payalnik-vybrat</t>
        </is>
      </c>
      <c r="D20" s="2" t="n">
        <v>54</v>
      </c>
      <c r="E20" s="2" t="inlineStr">
        <is>
          <t>smart-payalniki-type-c-obzor</t>
        </is>
      </c>
      <c r="F20" s="2" t="inlineStr">
        <is>
          <t>смарт-паяльники Type-C</t>
        </is>
      </c>
      <c r="G20" s="2" t="inlineStr">
        <is>
          <t>Контекстная перелинковка</t>
        </is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7">
      <c r="A21" s="2" t="n">
        <v>7</v>
      </c>
      <c r="B21" s="2" t="inlineStr">
        <is>
          <t>Паяльная станция или обычный паяльник: что выбрать</t>
        </is>
      </c>
      <c r="C21" s="2" t="inlineStr">
        <is>
          <t>payalnaya-stanciya-ili-payalnik</t>
        </is>
      </c>
      <c r="D21" s="2" t="n">
        <v>6</v>
      </c>
      <c r="E21" s="2" t="inlineStr">
        <is>
          <t>kakoj-payalnik-vybrat</t>
        </is>
      </c>
      <c r="F21" s="2" t="inlineStr">
        <is>
          <t>как выбрать паяльник</t>
        </is>
      </c>
      <c r="G21" s="2" t="inlineStr">
        <is>
          <t>Контекстная перелинковка</t>
        </is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7">
      <c r="A22" s="2" t="n">
        <v>7</v>
      </c>
      <c r="B22" s="2" t="inlineStr">
        <is>
          <t>Паяльная станция или обычный паяльник: что выбрать</t>
        </is>
      </c>
      <c r="C22" s="2" t="inlineStr">
        <is>
          <t>payalnaya-stanciya-ili-payalnik</t>
        </is>
      </c>
      <c r="D22" s="2" t="n">
        <v>12</v>
      </c>
      <c r="E22" s="2" t="inlineStr">
        <is>
          <t>payalnye-stancii-do-5000</t>
        </is>
      </c>
      <c r="F22" s="2" t="inlineStr">
        <is>
          <t>бюджетные паяльные станции</t>
        </is>
      </c>
      <c r="G22" s="2" t="inlineStr">
        <is>
          <t>Контекстная перелинковка</t>
        </is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7">
      <c r="A23" s="2" t="n">
        <v>7</v>
      </c>
      <c r="B23" s="2" t="inlineStr">
        <is>
          <t>Паяльная станция или обычный паяльник: что выбрать</t>
        </is>
      </c>
      <c r="C23" s="2" t="inlineStr">
        <is>
          <t>payalnaya-stanciya-ili-payalnik</t>
        </is>
      </c>
      <c r="D23" s="2" t="n">
        <v>33</v>
      </c>
      <c r="E23" s="2" t="inlineStr">
        <is>
          <t>termofen-dlya-pajki-vybor</t>
        </is>
      </c>
      <c r="F23" s="2" t="inlineStr">
        <is>
          <t>термофен для SMD</t>
        </is>
      </c>
      <c r="G23" s="2" t="inlineStr">
        <is>
          <t>Контекстная перелинковка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7">
      <c r="A24" s="2" t="n">
        <v>8</v>
      </c>
      <c r="B24" s="2" t="inlineStr">
        <is>
          <t>Какая мощность паяльника нужна для разных задач</t>
        </is>
      </c>
      <c r="C24" s="2" t="inlineStr">
        <is>
          <t>moschnost-payalnika-dlya-zadach</t>
        </is>
      </c>
      <c r="D24" s="2" t="n">
        <v>6</v>
      </c>
      <c r="E24" s="2" t="inlineStr">
        <is>
          <t>kakoj-payalnik-vybrat</t>
        </is>
      </c>
      <c r="F24" s="2" t="inlineStr">
        <is>
          <t>выбор паяльника</t>
        </is>
      </c>
      <c r="G24" s="2" t="inlineStr">
        <is>
          <t>Контекстная перелинковка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7">
      <c r="A25" s="2" t="n">
        <v>8</v>
      </c>
      <c r="B25" s="2" t="inlineStr">
        <is>
          <t>Какая мощность паяльника нужна для разных задач</t>
        </is>
      </c>
      <c r="C25" s="2" t="inlineStr">
        <is>
          <t>moschnost-payalnika-dlya-zadach</t>
        </is>
      </c>
      <c r="D25" s="2" t="n">
        <v>29</v>
      </c>
      <c r="E25" s="2" t="inlineStr">
        <is>
          <t>peregrev-komponentov-pri-pajke</t>
        </is>
      </c>
      <c r="F25" s="2" t="inlineStr">
        <is>
          <t>защита деталей от перегрева</t>
        </is>
      </c>
      <c r="G25" s="2" t="inlineStr">
        <is>
          <t>Контекстная перелинковка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7">
      <c r="A26" s="2" t="n">
        <v>9</v>
      </c>
      <c r="B26" s="2" t="inlineStr">
        <is>
          <t>Беспроводной паяльник: плюсы, минусы, когда нужен</t>
        </is>
      </c>
      <c r="C26" s="2" t="inlineStr">
        <is>
          <t>besprovodnoj-payalnik</t>
        </is>
      </c>
      <c r="D26" s="2" t="n">
        <v>6</v>
      </c>
      <c r="E26" s="2" t="inlineStr">
        <is>
          <t>kakoj-payalnik-vybrat</t>
        </is>
      </c>
      <c r="F26" s="2" t="inlineStr">
        <is>
          <t>сетевые паяльники</t>
        </is>
      </c>
      <c r="G26" s="2" t="inlineStr">
        <is>
          <t>Контекстная перелинковка</t>
        </is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7">
      <c r="A27" s="2" t="n">
        <v>9</v>
      </c>
      <c r="B27" s="2" t="inlineStr">
        <is>
          <t>Беспроводной паяльник: плюсы, минусы, когда нужен</t>
        </is>
      </c>
      <c r="C27" s="2" t="inlineStr">
        <is>
          <t>besprovodnoj-payalnik</t>
        </is>
      </c>
      <c r="D27" s="2" t="n">
        <v>46</v>
      </c>
      <c r="E27" s="2" t="inlineStr">
        <is>
          <t>kak-organizovat-mesto-dlya-pajki</t>
        </is>
      </c>
      <c r="F27" s="2" t="inlineStr">
        <is>
          <t>пайка вне дома</t>
        </is>
      </c>
      <c r="G27" s="2" t="inlineStr">
        <is>
          <t>Контекстная перелинковка</t>
        </is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7">
      <c r="A28" s="2" t="n">
        <v>10</v>
      </c>
      <c r="B28" s="2" t="inlineStr">
        <is>
          <t>Паяльник для SMD: какой выбрать для мелких деталей</t>
        </is>
      </c>
      <c r="C28" s="2" t="inlineStr">
        <is>
          <t>payalnik-dlya-smd</t>
        </is>
      </c>
      <c r="D28" s="2" t="n">
        <v>6</v>
      </c>
      <c r="E28" s="2" t="inlineStr">
        <is>
          <t>kakoj-payalnik-vybrat</t>
        </is>
      </c>
      <c r="F28" s="2" t="inlineStr">
        <is>
          <t>критерии выбора паяльника</t>
        </is>
      </c>
      <c r="G28" s="2" t="inlineStr">
        <is>
          <t>Контекстная перелинковка</t>
        </is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7">
      <c r="A29" s="2" t="n">
        <v>10</v>
      </c>
      <c r="B29" s="2" t="inlineStr">
        <is>
          <t>Паяльник для SMD: какой выбрать для мелких деталей</t>
        </is>
      </c>
      <c r="C29" s="2" t="inlineStr">
        <is>
          <t>payalnik-dlya-smd</t>
        </is>
      </c>
      <c r="D29" s="2" t="n">
        <v>30</v>
      </c>
      <c r="E29" s="2" t="inlineStr">
        <is>
          <t>smd-pajka-svoimi-rukami</t>
        </is>
      </c>
      <c r="F29" s="2" t="inlineStr">
        <is>
          <t>ручная пайка SMD</t>
        </is>
      </c>
      <c r="G29" s="2" t="inlineStr">
        <is>
          <t>Контекстная перелинковка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7">
      <c r="A30" s="2" t="n">
        <v>10</v>
      </c>
      <c r="B30" s="2" t="inlineStr">
        <is>
          <t>Паяльник для SMD: какой выбрать для мелких деталей</t>
        </is>
      </c>
      <c r="C30" s="2" t="inlineStr">
        <is>
          <t>payalnik-dlya-smd</t>
        </is>
      </c>
      <c r="D30" s="2" t="n">
        <v>41</v>
      </c>
      <c r="E30" s="2" t="inlineStr">
        <is>
          <t>zhalo-dlya-payalnika-tipy</t>
        </is>
      </c>
      <c r="F30" s="2" t="inlineStr">
        <is>
          <t>микрожала для SMD</t>
        </is>
      </c>
      <c r="G30" s="2" t="inlineStr">
        <is>
          <t>Контекстная перелинковка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7">
      <c r="A31" s="2" t="n">
        <v>11</v>
      </c>
      <c r="B31" s="2" t="inlineStr">
        <is>
          <t>Лучшие паяльники для дома: ТОП-10 моделей 2026</t>
        </is>
      </c>
      <c r="C31" s="2" t="inlineStr">
        <is>
          <t>luchshie-payalniki-dlya-doma</t>
        </is>
      </c>
      <c r="D31" s="2" t="n">
        <v>6</v>
      </c>
      <c r="E31" s="2" t="inlineStr">
        <is>
          <t>kakoj-payalnik-vybrat</t>
        </is>
      </c>
      <c r="F31" s="2" t="inlineStr">
        <is>
          <t>параметры выбора</t>
        </is>
      </c>
      <c r="G31" s="2" t="inlineStr">
        <is>
          <t>Контекстная перелинковка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7">
      <c r="A32" s="2" t="n">
        <v>11</v>
      </c>
      <c r="B32" s="2" t="inlineStr">
        <is>
          <t>Лучшие паяльники для дома: ТОП-10 моделей 2026</t>
        </is>
      </c>
      <c r="C32" s="2" t="inlineStr">
        <is>
          <t>luchshie-payalniki-dlya-doma</t>
        </is>
      </c>
      <c r="D32" s="2" t="n">
        <v>12</v>
      </c>
      <c r="E32" s="2" t="inlineStr">
        <is>
          <t>payalnye-stancii-do-5000</t>
        </is>
      </c>
      <c r="F32" s="2" t="inlineStr">
        <is>
          <t>станции до 5000 рублей</t>
        </is>
      </c>
      <c r="G32" s="2" t="inlineStr">
        <is>
          <t>Контекстная перелинковка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7">
      <c r="A33" s="2" t="n">
        <v>11</v>
      </c>
      <c r="B33" s="2" t="inlineStr">
        <is>
          <t>Лучшие паяльники для дома: ТОП-10 моделей 2026</t>
        </is>
      </c>
      <c r="C33" s="2" t="inlineStr">
        <is>
          <t>luchshie-payalniki-dlya-doma</t>
        </is>
      </c>
      <c r="D33" s="2" t="n">
        <v>13</v>
      </c>
      <c r="E33" s="2" t="inlineStr">
        <is>
          <t>payalniki-t12-obzor</t>
        </is>
      </c>
      <c r="F33" s="2" t="inlineStr">
        <is>
          <t>паяльники T12</t>
        </is>
      </c>
      <c r="G33" s="2" t="inlineStr">
        <is>
          <t>Контекстная перелинковка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7">
      <c r="A34" s="2" t="n">
        <v>11</v>
      </c>
      <c r="B34" s="2" t="inlineStr">
        <is>
          <t>Лучшие паяльники для дома: ТОП-10 моделей 2026</t>
        </is>
      </c>
      <c r="C34" s="2" t="inlineStr">
        <is>
          <t>luchshie-payalniki-dlya-doma</t>
        </is>
      </c>
      <c r="D34" s="2" t="n">
        <v>54</v>
      </c>
      <c r="E34" s="2" t="inlineStr">
        <is>
          <t>smart-payalniki-type-c-obzor</t>
        </is>
      </c>
      <c r="F34" s="2" t="inlineStr">
        <is>
          <t>смарт-паяльники Type-C</t>
        </is>
      </c>
      <c r="G34" s="2" t="inlineStr">
        <is>
          <t>Контекстная перелинковка</t>
        </is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7">
      <c r="A35" s="2" t="n">
        <v>12</v>
      </c>
      <c r="B35" s="2" t="inlineStr">
        <is>
          <t>Лучшие паяльные станции до 5000 рублей</t>
        </is>
      </c>
      <c r="C35" s="2" t="inlineStr">
        <is>
          <t>payalnye-stancii-do-5000</t>
        </is>
      </c>
      <c r="D35" s="2" t="n">
        <v>11</v>
      </c>
      <c r="E35" s="2" t="inlineStr">
        <is>
          <t>luchshie-payalniki-dlya-doma</t>
        </is>
      </c>
      <c r="F35" s="2" t="inlineStr">
        <is>
          <t>общий рейтинг паяльников</t>
        </is>
      </c>
      <c r="G35" s="2" t="inlineStr">
        <is>
          <t>Контекстная перелинковка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7">
      <c r="A36" s="2" t="n">
        <v>12</v>
      </c>
      <c r="B36" s="2" t="inlineStr">
        <is>
          <t>Лучшие паяльные станции до 5000 рублей</t>
        </is>
      </c>
      <c r="C36" s="2" t="inlineStr">
        <is>
          <t>payalnye-stancii-do-5000</t>
        </is>
      </c>
      <c r="D36" s="2" t="n">
        <v>7</v>
      </c>
      <c r="E36" s="2" t="inlineStr">
        <is>
          <t>payalnaya-stanciya-ili-payalnik</t>
        </is>
      </c>
      <c r="F36" s="2" t="inlineStr">
        <is>
          <t>станция или паяльник</t>
        </is>
      </c>
      <c r="G36" s="2" t="inlineStr">
        <is>
          <t>Контекстная перелинковка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7">
      <c r="A37" s="2" t="n">
        <v>13</v>
      </c>
      <c r="B37" s="2" t="inlineStr">
        <is>
          <t>Обзор паяльников T12: что это и почему их выбирают</t>
        </is>
      </c>
      <c r="C37" s="2" t="inlineStr">
        <is>
          <t>payalniki-t12-obzor</t>
        </is>
      </c>
      <c r="D37" s="2" t="n">
        <v>11</v>
      </c>
      <c r="E37" s="2" t="inlineStr">
        <is>
          <t>luchshie-payalniki-dlya-doma</t>
        </is>
      </c>
      <c r="F37" s="2" t="inlineStr">
        <is>
          <t>рейтинг домашних паяльников</t>
        </is>
      </c>
      <c r="G37" s="2" t="inlineStr">
        <is>
          <t>Контекстная перелинковка</t>
        </is>
      </c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7">
      <c r="A38" s="2" t="n">
        <v>13</v>
      </c>
      <c r="B38" s="2" t="inlineStr">
        <is>
          <t>Обзор паяльников T12: что это и почему их выбирают</t>
        </is>
      </c>
      <c r="C38" s="2" t="inlineStr">
        <is>
          <t>payalniki-t12-obzor</t>
        </is>
      </c>
      <c r="D38" s="2" t="n">
        <v>41</v>
      </c>
      <c r="E38" s="2" t="inlineStr">
        <is>
          <t>zhalo-dlya-payalnika-tipy</t>
        </is>
      </c>
      <c r="F38" s="2" t="inlineStr">
        <is>
          <t>картриджи и жала T12</t>
        </is>
      </c>
      <c r="G38" s="2" t="inlineStr">
        <is>
          <t>Контекстная перелинковка</t>
        </is>
      </c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7">
      <c r="A39" s="2" t="n">
        <v>14</v>
      </c>
      <c r="B39" s="2" t="inlineStr">
        <is>
          <t>Паяльники Hakko: обзор моделей и для чего подходят</t>
        </is>
      </c>
      <c r="C39" s="2" t="inlineStr">
        <is>
          <t>payalniki-hakko-obzor</t>
        </is>
      </c>
      <c r="D39" s="2" t="n">
        <v>11</v>
      </c>
      <c r="E39" s="2" t="inlineStr">
        <is>
          <t>luchshie-payalniki-dlya-doma</t>
        </is>
      </c>
      <c r="F39" s="2" t="inlineStr">
        <is>
          <t>ТОП паяльников</t>
        </is>
      </c>
      <c r="G39" s="2" t="inlineStr">
        <is>
          <t>Контекстная перелинковка</t>
        </is>
      </c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7">
      <c r="A40" s="2" t="n">
        <v>14</v>
      </c>
      <c r="B40" s="2" t="inlineStr">
        <is>
          <t>Паяльники Hakko: обзор моделей и для чего подходят</t>
        </is>
      </c>
      <c r="C40" s="2" t="inlineStr">
        <is>
          <t>payalniki-hakko-obzor</t>
        </is>
      </c>
      <c r="D40" s="2" t="n">
        <v>41</v>
      </c>
      <c r="E40" s="2" t="inlineStr">
        <is>
          <t>zhalo-dlya-payalnika-tipy</t>
        </is>
      </c>
      <c r="F40" s="2" t="inlineStr">
        <is>
          <t>стандарты жал Hakko</t>
        </is>
      </c>
      <c r="G40" s="2" t="inlineStr">
        <is>
          <t>Контекстная перелинковка</t>
        </is>
      </c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7">
      <c r="A41" s="2" t="n">
        <v>15</v>
      </c>
      <c r="B41" s="2" t="inlineStr">
        <is>
          <t>Припой для пайки: виды и как выбрать правильный</t>
        </is>
      </c>
      <c r="C41" s="2" t="inlineStr">
        <is>
          <t>pripoj-dlya-pajki-vidy</t>
        </is>
      </c>
      <c r="D41" s="2" t="n">
        <v>16</v>
      </c>
      <c r="E41" s="2" t="inlineStr">
        <is>
          <t>pos-61-i-pos-40-raznica</t>
        </is>
      </c>
      <c r="F41" s="2" t="inlineStr">
        <is>
          <t>сравнение ПОС-61 и ПОС-40</t>
        </is>
      </c>
      <c r="G41" s="2" t="inlineStr">
        <is>
          <t>Контекстная перелинковка</t>
        </is>
      </c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7">
      <c r="A42" s="2" t="n">
        <v>15</v>
      </c>
      <c r="B42" s="2" t="inlineStr">
        <is>
          <t>Припой для пайки: виды и как выбрать правильный</t>
        </is>
      </c>
      <c r="C42" s="2" t="inlineStr">
        <is>
          <t>pripoj-dlya-pajki-vidy</t>
        </is>
      </c>
      <c r="D42" s="2" t="n">
        <v>17</v>
      </c>
      <c r="E42" s="2" t="inlineStr">
        <is>
          <t>bessvincovyj-pripoj</t>
        </is>
      </c>
      <c r="F42" s="2" t="inlineStr">
        <is>
          <t>бессвинцовые припои</t>
        </is>
      </c>
      <c r="G42" s="2" t="inlineStr">
        <is>
          <t>Контекстная перелинковка</t>
        </is>
      </c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7">
      <c r="A43" s="2" t="n">
        <v>15</v>
      </c>
      <c r="B43" s="2" t="inlineStr">
        <is>
          <t>Припой для пайки: виды и как выбрать правильный</t>
        </is>
      </c>
      <c r="C43" s="2" t="inlineStr">
        <is>
          <t>pripoj-dlya-pajki-vidy</t>
        </is>
      </c>
      <c r="D43" s="2" t="n">
        <v>18</v>
      </c>
      <c r="E43" s="2" t="inlineStr">
        <is>
          <t>pripoj-s-flyusom-vnutri</t>
        </is>
      </c>
      <c r="F43" s="2" t="inlineStr">
        <is>
          <t>трубчатый припой с флюсом</t>
        </is>
      </c>
      <c r="G43" s="2" t="inlineStr">
        <is>
          <t>Контекстная перелинковка</t>
        </is>
      </c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7">
      <c r="A44" s="2" t="n">
        <v>15</v>
      </c>
      <c r="B44" s="2" t="inlineStr">
        <is>
          <t>Припой для пайки: виды и как выбрать правильный</t>
        </is>
      </c>
      <c r="C44" s="2" t="inlineStr">
        <is>
          <t>pripoj-dlya-pajki-vidy</t>
        </is>
      </c>
      <c r="D44" s="2" t="n">
        <v>52</v>
      </c>
      <c r="E44" s="2" t="inlineStr">
        <is>
          <t>payalnaya-pasta-ili-pripoj</t>
        </is>
      </c>
      <c r="F44" s="2" t="inlineStr">
        <is>
          <t>паяльная паста vs припой</t>
        </is>
      </c>
      <c r="G44" s="2" t="inlineStr">
        <is>
          <t>Контекстная перелинковка</t>
        </is>
      </c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7">
      <c r="A45" s="2" t="n">
        <v>16</v>
      </c>
      <c r="B45" s="2" t="inlineStr">
        <is>
          <t>ПОС-61 и ПОС-40: в чём разница и что выбрать</t>
        </is>
      </c>
      <c r="C45" s="2" t="inlineStr">
        <is>
          <t>pos-61-i-pos-40-raznica</t>
        </is>
      </c>
      <c r="D45" s="2" t="n">
        <v>15</v>
      </c>
      <c r="E45" s="2" t="inlineStr">
        <is>
          <t>pripoj-dlya-pajki-vidy</t>
        </is>
      </c>
      <c r="F45" s="2" t="inlineStr">
        <is>
          <t>все виды припоев</t>
        </is>
      </c>
      <c r="G45" s="2" t="inlineStr">
        <is>
          <t>Контекстная перелинковка</t>
        </is>
      </c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7">
      <c r="A46" s="2" t="n">
        <v>16</v>
      </c>
      <c r="B46" s="2" t="inlineStr">
        <is>
          <t>ПОС-61 и ПОС-40: в чём разница и что выбрать</t>
        </is>
      </c>
      <c r="C46" s="2" t="inlineStr">
        <is>
          <t>pos-61-i-pos-40-raznica</t>
        </is>
      </c>
      <c r="D46" s="2" t="n">
        <v>1</v>
      </c>
      <c r="E46" s="2" t="inlineStr">
        <is>
          <t>kak-payat-payalnikom-dlya-nachinayuschih</t>
        </is>
      </c>
      <c r="F46" s="2" t="inlineStr">
        <is>
          <t>пайка припоем ПОС-61</t>
        </is>
      </c>
      <c r="G46" s="2" t="inlineStr">
        <is>
          <t>Контекстная перелинковка</t>
        </is>
      </c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7">
      <c r="A47" s="2" t="n">
        <v>17</v>
      </c>
      <c r="B47" s="2" t="inlineStr">
        <is>
          <t>Бессвинцовый припой: плюсы, минусы, когда использовать</t>
        </is>
      </c>
      <c r="C47" s="2" t="inlineStr">
        <is>
          <t>bessvincovyj-pripoj</t>
        </is>
      </c>
      <c r="D47" s="2" t="n">
        <v>15</v>
      </c>
      <c r="E47" s="2" t="inlineStr">
        <is>
          <t>pripoj-dlya-pajki-vidy</t>
        </is>
      </c>
      <c r="F47" s="2" t="inlineStr">
        <is>
          <t>классификация припоев</t>
        </is>
      </c>
      <c r="G47" s="2" t="inlineStr">
        <is>
          <t>Контекстная перелинковка</t>
        </is>
      </c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7">
      <c r="A48" s="2" t="n">
        <v>17</v>
      </c>
      <c r="B48" s="2" t="inlineStr">
        <is>
          <t>Бессвинцовый припой: плюсы, минусы, когда использовать</t>
        </is>
      </c>
      <c r="C48" s="2" t="inlineStr">
        <is>
          <t>bessvincovyj-pripoj</t>
        </is>
      </c>
      <c r="D48" s="2" t="n">
        <v>43</v>
      </c>
      <c r="E48" s="2" t="inlineStr">
        <is>
          <t>tehnika-bezopasnosti-pri-pajke</t>
        </is>
      </c>
      <c r="F48" s="2" t="inlineStr">
        <is>
          <t>безопасность при работе со свинцом</t>
        </is>
      </c>
      <c r="G48" s="2" t="inlineStr">
        <is>
          <t>Контекстная перелинковка</t>
        </is>
      </c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7">
      <c r="A49" s="2" t="n">
        <v>18</v>
      </c>
      <c r="B49" s="2" t="inlineStr">
        <is>
          <t>Припой с флюсом внутри: что это и зачем нужен</t>
        </is>
      </c>
      <c r="C49" s="2" t="inlineStr">
        <is>
          <t>pripoj-s-flyusom-vnutri</t>
        </is>
      </c>
      <c r="D49" s="2" t="n">
        <v>15</v>
      </c>
      <c r="E49" s="2" t="inlineStr">
        <is>
          <t>pripoj-dlya-pajki-vidy</t>
        </is>
      </c>
      <c r="F49" s="2" t="inlineStr">
        <is>
          <t>марки припоев</t>
        </is>
      </c>
      <c r="G49" s="2" t="inlineStr">
        <is>
          <t>Контекстная перелинковка</t>
        </is>
      </c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7">
      <c r="A50" s="2" t="n">
        <v>18</v>
      </c>
      <c r="B50" s="2" t="inlineStr">
        <is>
          <t>Припой с флюсом внутри: что это и зачем нужен</t>
        </is>
      </c>
      <c r="C50" s="2" t="inlineStr">
        <is>
          <t>pripoj-s-flyusom-vnutri</t>
        </is>
      </c>
      <c r="D50" s="2" t="n">
        <v>20</v>
      </c>
      <c r="E50" s="2" t="inlineStr">
        <is>
          <t>flyus-dlya-pajki-kakoj-vybrat</t>
        </is>
      </c>
      <c r="F50" s="2" t="inlineStr">
        <is>
          <t>выбор флюса</t>
        </is>
      </c>
      <c r="G50" s="2" t="inlineStr">
        <is>
          <t>Контекстная перелинковка</t>
        </is>
      </c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7">
      <c r="A51" s="2" t="n">
        <v>19</v>
      </c>
      <c r="B51" s="2" t="inlineStr">
        <is>
          <t>Какой диаметр припоя выбрать для разных работ</t>
        </is>
      </c>
      <c r="C51" s="2" t="inlineStr">
        <is>
          <t>diametr-pripoya-dlya-rabot</t>
        </is>
      </c>
      <c r="D51" s="2" t="n">
        <v>15</v>
      </c>
      <c r="E51" s="2" t="inlineStr">
        <is>
          <t>pripoj-dlya-pajki-vidy</t>
        </is>
      </c>
      <c r="F51" s="2" t="inlineStr">
        <is>
          <t>виды припоев</t>
        </is>
      </c>
      <c r="G51" s="2" t="inlineStr">
        <is>
          <t>Контекстная перелинковка</t>
        </is>
      </c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7">
      <c r="A52" s="2" t="n">
        <v>19</v>
      </c>
      <c r="B52" s="2" t="inlineStr">
        <is>
          <t>Какой диаметр припоя выбрать для разных работ</t>
        </is>
      </c>
      <c r="C52" s="2" t="inlineStr">
        <is>
          <t>diametr-pripoya-dlya-rabot</t>
        </is>
      </c>
      <c r="D52" s="2" t="n">
        <v>30</v>
      </c>
      <c r="E52" s="2" t="inlineStr">
        <is>
          <t>smd-pajka-svoimi-rukami</t>
        </is>
      </c>
      <c r="F52" s="2" t="inlineStr">
        <is>
          <t>припой для SMD</t>
        </is>
      </c>
      <c r="G52" s="2" t="inlineStr">
        <is>
          <t>Контекстная перелинковка</t>
        </is>
      </c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7">
      <c r="A53" s="2" t="n">
        <v>20</v>
      </c>
      <c r="B53" s="2" t="inlineStr">
        <is>
          <t>Флюс для пайки: какой выбрать и как использовать</t>
        </is>
      </c>
      <c r="C53" s="2" t="inlineStr">
        <is>
          <t>flyus-dlya-pajki-kakoj-vybrat</t>
        </is>
      </c>
      <c r="D53" s="2" t="n">
        <v>21</v>
      </c>
      <c r="E53" s="2" t="inlineStr">
        <is>
          <t>kanifol-ili-zhidkij-flyus</t>
        </is>
      </c>
      <c r="F53" s="2" t="inlineStr">
        <is>
          <t>канифоль или жидкий флюс</t>
        </is>
      </c>
      <c r="G53" s="2" t="inlineStr">
        <is>
          <t>Контекстная перелинковка</t>
        </is>
      </c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7">
      <c r="A54" s="2" t="n">
        <v>20</v>
      </c>
      <c r="B54" s="2" t="inlineStr">
        <is>
          <t>Флюс для пайки: какой выбрать и как использовать</t>
        </is>
      </c>
      <c r="C54" s="2" t="inlineStr">
        <is>
          <t>flyus-dlya-pajki-kakoj-vybrat</t>
        </is>
      </c>
      <c r="D54" s="2" t="n">
        <v>22</v>
      </c>
      <c r="E54" s="2" t="inlineStr">
        <is>
          <t>aktivnyj-flyus-kak-smyt</t>
        </is>
      </c>
      <c r="F54" s="2" t="inlineStr">
        <is>
          <t>активный флюс</t>
        </is>
      </c>
      <c r="G54" s="2" t="inlineStr">
        <is>
          <t>Контекстная перелинковка</t>
        </is>
      </c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7">
      <c r="A55" s="2" t="n">
        <v>20</v>
      </c>
      <c r="B55" s="2" t="inlineStr">
        <is>
          <t>Флюс для пайки: какой выбрать и как использовать</t>
        </is>
      </c>
      <c r="C55" s="2" t="inlineStr">
        <is>
          <t>flyus-dlya-pajki-kakoj-vybrat</t>
        </is>
      </c>
      <c r="D55" s="2" t="n">
        <v>23</v>
      </c>
      <c r="E55" s="2" t="inlineStr">
        <is>
          <t>flyus-rma-i-ra-otlichiya</t>
        </is>
      </c>
      <c r="F55" s="2" t="inlineStr">
        <is>
          <t>маркировки RMA и RA</t>
        </is>
      </c>
      <c r="G55" s="2" t="inlineStr">
        <is>
          <t>Контекстная перелинковка</t>
        </is>
      </c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7">
      <c r="A56" s="2" t="n">
        <v>20</v>
      </c>
      <c r="B56" s="2" t="inlineStr">
        <is>
          <t>Флюс для пайки: какой выбрать и как использовать</t>
        </is>
      </c>
      <c r="C56" s="2" t="inlineStr">
        <is>
          <t>flyus-dlya-pajki-kakoj-vybrat</t>
        </is>
      </c>
      <c r="D56" s="2" t="n">
        <v>52</v>
      </c>
      <c r="E56" s="2" t="inlineStr">
        <is>
          <t>payalnaya-pasta-ili-pripoj</t>
        </is>
      </c>
      <c r="F56" s="2" t="inlineStr">
        <is>
          <t>флюс-гель и паста</t>
        </is>
      </c>
      <c r="G56" s="2" t="inlineStr">
        <is>
          <t>Контекстная перелинковка</t>
        </is>
      </c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7">
      <c r="A57" s="2" t="n">
        <v>21</v>
      </c>
      <c r="B57" s="2" t="inlineStr">
        <is>
          <t>Канифоль или жидкий флюс: что лучше для новичка</t>
        </is>
      </c>
      <c r="C57" s="2" t="inlineStr">
        <is>
          <t>kanifol-ili-zhidkij-flyus</t>
        </is>
      </c>
      <c r="D57" s="2" t="n">
        <v>20</v>
      </c>
      <c r="E57" s="2" t="inlineStr">
        <is>
          <t>flyus-dlya-pajki-kakoj-vybrat</t>
        </is>
      </c>
      <c r="F57" s="2" t="inlineStr">
        <is>
          <t>все виды флюсов</t>
        </is>
      </c>
      <c r="G57" s="2" t="inlineStr">
        <is>
          <t>Контекстная перелинковка</t>
        </is>
      </c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7">
      <c r="A58" s="2" t="n">
        <v>21</v>
      </c>
      <c r="B58" s="2" t="inlineStr">
        <is>
          <t>Канифоль или жидкий флюс: что лучше для новичка</t>
        </is>
      </c>
      <c r="C58" s="2" t="inlineStr">
        <is>
          <t>kanifol-ili-zhidkij-flyus</t>
        </is>
      </c>
      <c r="D58" s="2" t="n">
        <v>1</v>
      </c>
      <c r="E58" s="2" t="inlineStr">
        <is>
          <t>kak-payat-payalnikom-dlya-nachinayuschih</t>
        </is>
      </c>
      <c r="F58" s="2" t="inlineStr">
        <is>
          <t>нанесение флюса при пайке</t>
        </is>
      </c>
      <c r="G58" s="2" t="inlineStr">
        <is>
          <t>Контекстная перелинковка</t>
        </is>
      </c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7">
      <c r="A59" s="2" t="n">
        <v>22</v>
      </c>
      <c r="B59" s="2" t="inlineStr">
        <is>
          <t>Активный флюс: когда использовать и как смыть остатки</t>
        </is>
      </c>
      <c r="C59" s="2" t="inlineStr">
        <is>
          <t>aktivnyj-flyus-kak-smyt</t>
        </is>
      </c>
      <c r="D59" s="2" t="n">
        <v>20</v>
      </c>
      <c r="E59" s="2" t="inlineStr">
        <is>
          <t>flyus-dlya-pajki-kakoj-vybrat</t>
        </is>
      </c>
      <c r="F59" s="2" t="inlineStr">
        <is>
          <t>выбор нейтрального флюса</t>
        </is>
      </c>
      <c r="G59" s="2" t="inlineStr">
        <is>
          <t>Контекстная перелинковка</t>
        </is>
      </c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7">
      <c r="A60" s="2" t="n">
        <v>22</v>
      </c>
      <c r="B60" s="2" t="inlineStr">
        <is>
          <t>Активный флюс: когда использовать и как смыть остатки</t>
        </is>
      </c>
      <c r="C60" s="2" t="inlineStr">
        <is>
          <t>aktivnyj-flyus-kak-smyt</t>
        </is>
      </c>
      <c r="D60" s="2" t="n">
        <v>29</v>
      </c>
      <c r="E60" s="2" t="inlineStr">
        <is>
          <t>peregrev-komponentov-pri-pajke</t>
        </is>
      </c>
      <c r="F60" s="2" t="inlineStr">
        <is>
          <t>промывка платы от флюса</t>
        </is>
      </c>
      <c r="G60" s="2" t="inlineStr">
        <is>
          <t>Контекстная перелинковка</t>
        </is>
      </c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7">
      <c r="A61" s="2" t="n">
        <v>23</v>
      </c>
      <c r="B61" s="2" t="inlineStr">
        <is>
          <t>Флюс RMA и RA: расшифровка маркировки и отличия</t>
        </is>
      </c>
      <c r="C61" s="2" t="inlineStr">
        <is>
          <t>flyus-rma-i-ra-otlichiya</t>
        </is>
      </c>
      <c r="D61" s="2" t="n">
        <v>20</v>
      </c>
      <c r="E61" s="2" t="inlineStr">
        <is>
          <t>flyus-dlya-pajki-kakoj-vybrat</t>
        </is>
      </c>
      <c r="F61" s="2" t="inlineStr">
        <is>
          <t>классификация флюсов</t>
        </is>
      </c>
      <c r="G61" s="2" t="inlineStr">
        <is>
          <t>Контекстная перелинковка</t>
        </is>
      </c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7">
      <c r="A62" s="2" t="n">
        <v>23</v>
      </c>
      <c r="B62" s="2" t="inlineStr">
        <is>
          <t>Флюс RMA и RA: расшифровка маркировки и отличия</t>
        </is>
      </c>
      <c r="C62" s="2" t="inlineStr">
        <is>
          <t>flyus-rma-i-ra-otlichiya</t>
        </is>
      </c>
      <c r="D62" s="2" t="n">
        <v>30</v>
      </c>
      <c r="E62" s="2" t="inlineStr">
        <is>
          <t>smd-pajka-svoimi-rukami</t>
        </is>
      </c>
      <c r="F62" s="2" t="inlineStr">
        <is>
          <t>флюс-гель для SMD</t>
        </is>
      </c>
      <c r="G62" s="2" t="inlineStr">
        <is>
          <t>Контекстная перелинковка</t>
        </is>
      </c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7">
      <c r="A63" s="2" t="n">
        <v>24</v>
      </c>
      <c r="B63" s="2" t="inlineStr">
        <is>
          <t>Как сделать флюс в домашних условиях</t>
        </is>
      </c>
      <c r="C63" s="2" t="inlineStr">
        <is>
          <t>kak-sdelat-flyus-doma</t>
        </is>
      </c>
      <c r="D63" s="2" t="n">
        <v>20</v>
      </c>
      <c r="E63" s="2" t="inlineStr">
        <is>
          <t>flyus-dlya-pajki-kakoj-vybrat</t>
        </is>
      </c>
      <c r="F63" s="2" t="inlineStr">
        <is>
          <t>готовые флюсы</t>
        </is>
      </c>
      <c r="G63" s="2" t="inlineStr">
        <is>
          <t>Контекстная перелинковка</t>
        </is>
      </c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7">
      <c r="A64" s="2" t="n">
        <v>24</v>
      </c>
      <c r="B64" s="2" t="inlineStr">
        <is>
          <t>Как сделать флюс в домашних условиях</t>
        </is>
      </c>
      <c r="C64" s="2" t="inlineStr">
        <is>
          <t>kak-sdelat-flyus-doma</t>
        </is>
      </c>
      <c r="D64" s="2" t="n">
        <v>21</v>
      </c>
      <c r="E64" s="2" t="inlineStr">
        <is>
          <t>kanifol-ili-zhidkij-flyus</t>
        </is>
      </c>
      <c r="F64" s="2" t="inlineStr">
        <is>
          <t>спиртоканифольный флюс СКФ</t>
        </is>
      </c>
      <c r="G64" s="2" t="inlineStr">
        <is>
          <t>Контекстная перелинковка</t>
        </is>
      </c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7">
      <c r="A65" s="2" t="n">
        <v>25</v>
      </c>
      <c r="B65" s="2" t="inlineStr">
        <is>
          <t>5 типичных ошибок новичка при пайке и как их избежать</t>
        </is>
      </c>
      <c r="C65" s="2" t="inlineStr">
        <is>
          <t>oshibki-novichka-pri-pajke</t>
        </is>
      </c>
      <c r="D65" s="2" t="n">
        <v>26</v>
      </c>
      <c r="E65" s="2" t="inlineStr">
        <is>
          <t>holodnaya-pajka-kak-raspoznat</t>
        </is>
      </c>
      <c r="F65" s="2" t="inlineStr">
        <is>
          <t>дефект холодной пайки</t>
        </is>
      </c>
      <c r="G65" s="2" t="inlineStr">
        <is>
          <t>Контекстная перелинковка</t>
        </is>
      </c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7">
      <c r="A66" s="2" t="n">
        <v>25</v>
      </c>
      <c r="B66" s="2" t="inlineStr">
        <is>
          <t>5 типичных ошибок новичка при пайке и как их избежать</t>
        </is>
      </c>
      <c r="C66" s="2" t="inlineStr">
        <is>
          <t>oshibki-novichka-pri-pajke</t>
        </is>
      </c>
      <c r="D66" s="2" t="n">
        <v>27</v>
      </c>
      <c r="E66" s="2" t="inlineStr">
        <is>
          <t>pripoj-ne-plavitsya-prichiny</t>
        </is>
      </c>
      <c r="F66" s="2" t="inlineStr">
        <is>
          <t>почему припой скатывается</t>
        </is>
      </c>
      <c r="G66" s="2" t="inlineStr">
        <is>
          <t>Контекстная перелинковка</t>
        </is>
      </c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7">
      <c r="A67" s="2" t="n">
        <v>25</v>
      </c>
      <c r="B67" s="2" t="inlineStr">
        <is>
          <t>5 типичных ошибок новичка при пайке и как их избежать</t>
        </is>
      </c>
      <c r="C67" s="2" t="inlineStr">
        <is>
          <t>oshibki-novichka-pri-pajke</t>
        </is>
      </c>
      <c r="D67" s="2" t="n">
        <v>28</v>
      </c>
      <c r="E67" s="2" t="inlineStr">
        <is>
          <t>kak-ubrat-most-pripoya</t>
        </is>
      </c>
      <c r="F67" s="2" t="inlineStr">
        <is>
          <t>как убрать мостик припоя</t>
        </is>
      </c>
      <c r="G67" s="2" t="inlineStr">
        <is>
          <t>Контекстная перелинковка</t>
        </is>
      </c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7">
      <c r="A68" s="2" t="n">
        <v>25</v>
      </c>
      <c r="B68" s="2" t="inlineStr">
        <is>
          <t>5 типичных ошибок новичка при пайке и как их избежать</t>
        </is>
      </c>
      <c r="C68" s="2" t="inlineStr">
        <is>
          <t>oshibki-novichka-pri-pajke</t>
        </is>
      </c>
      <c r="D68" s="2" t="n">
        <v>29</v>
      </c>
      <c r="E68" s="2" t="inlineStr">
        <is>
          <t>peregrev-komponentov-pri-pajke</t>
        </is>
      </c>
      <c r="F68" s="2" t="inlineStr">
        <is>
          <t>перегрев деталей</t>
        </is>
      </c>
      <c r="G68" s="2" t="inlineStr">
        <is>
          <t>Контекстная перелинковка</t>
        </is>
      </c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7">
      <c r="A69" s="2" t="n">
        <v>26</v>
      </c>
      <c r="B69" s="2" t="inlineStr">
        <is>
          <t>Холодная пайка: как распознать и переделать</t>
        </is>
      </c>
      <c r="C69" s="2" t="inlineStr">
        <is>
          <t>holodnaya-pajka-kak-raspoznat</t>
        </is>
      </c>
      <c r="D69" s="2" t="n">
        <v>25</v>
      </c>
      <c r="E69" s="2" t="inlineStr">
        <is>
          <t>oshibki-novichka-pri-pajke</t>
        </is>
      </c>
      <c r="F69" s="2" t="inlineStr">
        <is>
          <t>все ошибки новичка</t>
        </is>
      </c>
      <c r="G69" s="2" t="inlineStr">
        <is>
          <t>Контекстная перелинковка</t>
        </is>
      </c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7">
      <c r="A70" s="2" t="n">
        <v>26</v>
      </c>
      <c r="B70" s="2" t="inlineStr">
        <is>
          <t>Холодная пайка: как распознать и переделать</t>
        </is>
      </c>
      <c r="C70" s="2" t="inlineStr">
        <is>
          <t>holodnaya-pajka-kak-raspoznat</t>
        </is>
      </c>
      <c r="D70" s="2" t="n">
        <v>1</v>
      </c>
      <c r="E70" s="2" t="inlineStr">
        <is>
          <t>kak-payat-payalnikom-dlya-nachinayuschih</t>
        </is>
      </c>
      <c r="F70" s="2" t="inlineStr">
        <is>
          <t>правильный прогрев контакта</t>
        </is>
      </c>
      <c r="G70" s="2" t="inlineStr">
        <is>
          <t>Контекстная перелинковка</t>
        </is>
      </c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7">
      <c r="A71" s="2" t="n">
        <v>27</v>
      </c>
      <c r="B71" s="2" t="inlineStr">
        <is>
          <t>Почему припой не плавится или скатывается: причины</t>
        </is>
      </c>
      <c r="C71" s="2" t="inlineStr">
        <is>
          <t>pripoj-ne-plavitsya-prichiny</t>
        </is>
      </c>
      <c r="D71" s="2" t="n">
        <v>25</v>
      </c>
      <c r="E71" s="2" t="inlineStr">
        <is>
          <t>oshibki-novichka-pri-pajke</t>
        </is>
      </c>
      <c r="F71" s="2" t="inlineStr">
        <is>
          <t>типичные проблемы пайки</t>
        </is>
      </c>
      <c r="G71" s="2" t="inlineStr">
        <is>
          <t>Контекстная перелинковка</t>
        </is>
      </c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7">
      <c r="A72" s="2" t="n">
        <v>27</v>
      </c>
      <c r="B72" s="2" t="inlineStr">
        <is>
          <t>Почему припой не плавится или скатывается: причины</t>
        </is>
      </c>
      <c r="C72" s="2" t="inlineStr">
        <is>
          <t>pripoj-ne-plavitsya-prichiny</t>
        </is>
      </c>
      <c r="D72" s="2" t="n">
        <v>42</v>
      </c>
      <c r="E72" s="2" t="inlineStr">
        <is>
          <t>kak-chistit-i-ludit-zhalo</t>
        </is>
      </c>
      <c r="F72" s="2" t="inlineStr">
        <is>
          <t>чистка и лужение жала</t>
        </is>
      </c>
      <c r="G72" s="2" t="inlineStr">
        <is>
          <t>Контекстная перелинковка</t>
        </is>
      </c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7">
      <c r="A73" s="2" t="n">
        <v>28</v>
      </c>
      <c r="B73" s="2" t="inlineStr">
        <is>
          <t>Как убрать мост припоя между контактами</t>
        </is>
      </c>
      <c r="C73" s="2" t="inlineStr">
        <is>
          <t>kak-ubrat-most-pripoya</t>
        </is>
      </c>
      <c r="D73" s="2" t="n">
        <v>25</v>
      </c>
      <c r="E73" s="2" t="inlineStr">
        <is>
          <t>oshibki-novichka-pri-pajke</t>
        </is>
      </c>
      <c r="F73" s="2" t="inlineStr">
        <is>
          <t>дефекты пайки</t>
        </is>
      </c>
      <c r="G73" s="2" t="inlineStr">
        <is>
          <t>Контекстная перелинковка</t>
        </is>
      </c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7">
      <c r="A74" s="2" t="n">
        <v>28</v>
      </c>
      <c r="B74" s="2" t="inlineStr">
        <is>
          <t>Как убрать мост припоя между контактами</t>
        </is>
      </c>
      <c r="C74" s="2" t="inlineStr">
        <is>
          <t>kak-ubrat-most-pripoya</t>
        </is>
      </c>
      <c r="D74" s="2" t="n">
        <v>39</v>
      </c>
      <c r="E74" s="2" t="inlineStr">
        <is>
          <t>opletka-dlya-snyatiya-pripoya</t>
        </is>
      </c>
      <c r="F74" s="2" t="inlineStr">
        <is>
          <t>удаление припоя медной оплеткой</t>
        </is>
      </c>
      <c r="G74" s="2" t="inlineStr">
        <is>
          <t>Контекстная перелинковка</t>
        </is>
      </c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7">
      <c r="A75" s="2" t="n">
        <v>29</v>
      </c>
      <c r="B75" s="2" t="inlineStr">
        <is>
          <t>Перегрев компонентов при пайке: как не сжечь деталь</t>
        </is>
      </c>
      <c r="C75" s="2" t="inlineStr">
        <is>
          <t>peregrev-komponentov-pri-pajke</t>
        </is>
      </c>
      <c r="D75" s="2" t="n">
        <v>25</v>
      </c>
      <c r="E75" s="2" t="inlineStr">
        <is>
          <t>oshibki-novichka-pri-pajke</t>
        </is>
      </c>
      <c r="F75" s="2" t="inlineStr">
        <is>
          <t>ошибки при пайке</t>
        </is>
      </c>
      <c r="G75" s="2" t="inlineStr">
        <is>
          <t>Контекстная перелинковка</t>
        </is>
      </c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7">
      <c r="A76" s="2" t="n">
        <v>29</v>
      </c>
      <c r="B76" s="2" t="inlineStr">
        <is>
          <t>Перегрев компонентов при пайке: как не сжечь деталь</t>
        </is>
      </c>
      <c r="C76" s="2" t="inlineStr">
        <is>
          <t>peregrev-komponentov-pri-pajke</t>
        </is>
      </c>
      <c r="D76" s="2" t="n">
        <v>8</v>
      </c>
      <c r="E76" s="2" t="inlineStr">
        <is>
          <t>moschnost-payalnika-dlya-zadach</t>
        </is>
      </c>
      <c r="F76" s="2" t="inlineStr">
        <is>
          <t>настройка температуры паяльника</t>
        </is>
      </c>
      <c r="G76" s="2" t="inlineStr">
        <is>
          <t>Контекстная перелинковка</t>
        </is>
      </c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7">
      <c r="A77" s="2" t="n">
        <v>30</v>
      </c>
      <c r="B77" s="2" t="inlineStr">
        <is>
          <t>SMD пайка своими руками: как паять мелкие компоненты</t>
        </is>
      </c>
      <c r="C77" s="2" t="inlineStr">
        <is>
          <t>smd-pajka-svoimi-rukami</t>
        </is>
      </c>
      <c r="D77" s="2" t="n">
        <v>31</v>
      </c>
      <c r="E77" s="2" t="inlineStr">
        <is>
          <t>smd-ili-dip-chem-otlichayutsya</t>
        </is>
      </c>
      <c r="F77" s="2" t="inlineStr">
        <is>
          <t>разница SMD и DIP</t>
        </is>
      </c>
      <c r="G77" s="2" t="inlineStr">
        <is>
          <t>Контекстная перелинковка</t>
        </is>
      </c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7">
      <c r="A78" s="2" t="n">
        <v>30</v>
      </c>
      <c r="B78" s="2" t="inlineStr">
        <is>
          <t>SMD пайка своими руками: как паять мелкие компоненты</t>
        </is>
      </c>
      <c r="C78" s="2" t="inlineStr">
        <is>
          <t>smd-pajka-svoimi-rukami</t>
        </is>
      </c>
      <c r="D78" s="2" t="n">
        <v>32</v>
      </c>
      <c r="E78" s="2" t="inlineStr">
        <is>
          <t>kak-payat-smd-bez-fena</t>
        </is>
      </c>
      <c r="F78" s="2" t="inlineStr">
        <is>
          <t>пайка SMD без фена</t>
        </is>
      </c>
      <c r="G78" s="2" t="inlineStr">
        <is>
          <t>Контекстная перелинковка</t>
        </is>
      </c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7">
      <c r="A79" s="2" t="n">
        <v>30</v>
      </c>
      <c r="B79" s="2" t="inlineStr">
        <is>
          <t>SMD пайка своими руками: как паять мелкие компоненты</t>
        </is>
      </c>
      <c r="C79" s="2" t="inlineStr">
        <is>
          <t>smd-pajka-svoimi-rukami</t>
        </is>
      </c>
      <c r="D79" s="2" t="n">
        <v>33</v>
      </c>
      <c r="E79" s="2" t="inlineStr">
        <is>
          <t>termofen-dlya-pajki-vybor</t>
        </is>
      </c>
      <c r="F79" s="2" t="inlineStr">
        <is>
          <t>термофен для SMD</t>
        </is>
      </c>
      <c r="G79" s="2" t="inlineStr">
        <is>
          <t>Контекстная перелинковка</t>
        </is>
      </c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7">
      <c r="A80" s="2" t="n">
        <v>30</v>
      </c>
      <c r="B80" s="2" t="inlineStr">
        <is>
          <t>SMD пайка своими руками: как паять мелкие компоненты</t>
        </is>
      </c>
      <c r="C80" s="2" t="inlineStr">
        <is>
          <t>smd-pajka-svoimi-rukami</t>
        </is>
      </c>
      <c r="D80" s="2" t="n">
        <v>58</v>
      </c>
      <c r="E80" s="2" t="inlineStr">
        <is>
          <t>pajka-komponentov-0201-0402</t>
        </is>
      </c>
      <c r="F80" s="2" t="inlineStr">
        <is>
          <t>пайка 0201 и 0402</t>
        </is>
      </c>
      <c r="G80" s="2" t="inlineStr">
        <is>
          <t>Контекстная перелинковка</t>
        </is>
      </c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7">
      <c r="A81" s="2" t="n">
        <v>31</v>
      </c>
      <c r="B81" s="2" t="inlineStr">
        <is>
          <t>SMD или DIP: чем отличаются и что выбрать для проекта</t>
        </is>
      </c>
      <c r="C81" s="2" t="inlineStr">
        <is>
          <t>smd-ili-dip-chem-otlichayutsya</t>
        </is>
      </c>
      <c r="D81" s="2" t="n">
        <v>1</v>
      </c>
      <c r="E81" s="2" t="inlineStr">
        <is>
          <t>kak-payat-payalnikom-dlya-nachinayuschih</t>
        </is>
      </c>
      <c r="F81" s="2" t="inlineStr">
        <is>
          <t>пайка DIP элементов</t>
        </is>
      </c>
      <c r="G81" s="2" t="inlineStr">
        <is>
          <t>Контекстная перелинковка</t>
        </is>
      </c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7">
      <c r="A82" s="2" t="n">
        <v>31</v>
      </c>
      <c r="B82" s="2" t="inlineStr">
        <is>
          <t>SMD или DIP: чем отличаются и что выбрать для проекта</t>
        </is>
      </c>
      <c r="C82" s="2" t="inlineStr">
        <is>
          <t>smd-ili-dip-chem-otlichayutsya</t>
        </is>
      </c>
      <c r="D82" s="2" t="n">
        <v>30</v>
      </c>
      <c r="E82" s="2" t="inlineStr">
        <is>
          <t>smd-pajka-svoimi-rukami</t>
        </is>
      </c>
      <c r="F82" s="2" t="inlineStr">
        <is>
          <t>ручная пайка SMD</t>
        </is>
      </c>
      <c r="G82" s="2" t="inlineStr">
        <is>
          <t>Контекстная перелинковка</t>
        </is>
      </c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7">
      <c r="A83" s="2" t="n">
        <v>32</v>
      </c>
      <c r="B83" s="2" t="inlineStr">
        <is>
          <t>Как паять SMD без паяльной станции с горячим воздухом</t>
        </is>
      </c>
      <c r="C83" s="2" t="inlineStr">
        <is>
          <t>kak-payat-smd-bez-fena</t>
        </is>
      </c>
      <c r="D83" s="2" t="n">
        <v>30</v>
      </c>
      <c r="E83" s="2" t="inlineStr">
        <is>
          <t>smd-pajka-svoimi-rukami</t>
        </is>
      </c>
      <c r="F83" s="2" t="inlineStr">
        <is>
          <t>гайд по SMD пайке</t>
        </is>
      </c>
      <c r="G83" s="2" t="inlineStr">
        <is>
          <t>Контекстная перелинковка</t>
        </is>
      </c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7">
      <c r="A84" s="2" t="n">
        <v>32</v>
      </c>
      <c r="B84" s="2" t="inlineStr">
        <is>
          <t>Как паять SMD без паяльной станции с горячим воздухом</t>
        </is>
      </c>
      <c r="C84" s="2" t="inlineStr">
        <is>
          <t>kak-payat-smd-bez-fena</t>
        </is>
      </c>
      <c r="D84" s="2" t="n">
        <v>39</v>
      </c>
      <c r="E84" s="2" t="inlineStr">
        <is>
          <t>opletka-dlya-snyatiya-pripoya</t>
        </is>
      </c>
      <c r="F84" s="2" t="inlineStr">
        <is>
          <t>демонтаж оплеткой</t>
        </is>
      </c>
      <c r="G84" s="2" t="inlineStr">
        <is>
          <t>Контекстная перелинковка</t>
        </is>
      </c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7">
      <c r="A85" s="2" t="n">
        <v>33</v>
      </c>
      <c r="B85" s="2" t="inlineStr">
        <is>
          <t>Термофен для пайки: нужен ли новичку и как выбрать</t>
        </is>
      </c>
      <c r="C85" s="2" t="inlineStr">
        <is>
          <t>termofen-dlya-pajki-vybor</t>
        </is>
      </c>
      <c r="D85" s="2" t="n">
        <v>30</v>
      </c>
      <c r="E85" s="2" t="inlineStr">
        <is>
          <t>smd-pajka-svoimi-rukami</t>
        </is>
      </c>
      <c r="F85" s="2" t="inlineStr">
        <is>
          <t>ручной монтаж SMD</t>
        </is>
      </c>
      <c r="G85" s="2" t="inlineStr">
        <is>
          <t>Контекстная перелинковка</t>
        </is>
      </c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7">
      <c r="A86" s="2" t="n">
        <v>33</v>
      </c>
      <c r="B86" s="2" t="inlineStr">
        <is>
          <t>Термофен для пайки: нужен ли новичку и как выбрать</t>
        </is>
      </c>
      <c r="C86" s="2" t="inlineStr">
        <is>
          <t>termofen-dlya-pajki-vybor</t>
        </is>
      </c>
      <c r="D86" s="2" t="n">
        <v>7</v>
      </c>
      <c r="E86" s="2" t="inlineStr">
        <is>
          <t>payalnaya-stanciya-ili-payalnik</t>
        </is>
      </c>
      <c r="F86" s="2" t="inlineStr">
        <is>
          <t>комбо-станции с феном</t>
        </is>
      </c>
      <c r="G86" s="2" t="inlineStr">
        <is>
          <t>Контекстная перелинковка</t>
        </is>
      </c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7">
      <c r="A87" s="2" t="n">
        <v>34</v>
      </c>
      <c r="B87" s="2" t="inlineStr">
        <is>
          <t>Пайка платы телефона: что нужно знать перед началом</t>
        </is>
      </c>
      <c r="C87" s="2" t="inlineStr">
        <is>
          <t>pajka-platy-telefona</t>
        </is>
      </c>
      <c r="D87" s="2" t="n">
        <v>35</v>
      </c>
      <c r="E87" s="2" t="inlineStr">
        <is>
          <t>kak-perepayat-razyom-zaryadki</t>
        </is>
      </c>
      <c r="F87" s="2" t="inlineStr">
        <is>
          <t>замена разъёма Type-C</t>
        </is>
      </c>
      <c r="G87" s="2" t="inlineStr">
        <is>
          <t>Контекстная перелинковка</t>
        </is>
      </c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7">
      <c r="A88" s="2" t="n">
        <v>34</v>
      </c>
      <c r="B88" s="2" t="inlineStr">
        <is>
          <t>Пайка платы телефона: что нужно знать перед началом</t>
        </is>
      </c>
      <c r="C88" s="2" t="inlineStr">
        <is>
          <t>pajka-platy-telefona</t>
        </is>
      </c>
      <c r="D88" s="2" t="n">
        <v>36</v>
      </c>
      <c r="E88" s="2" t="inlineStr">
        <is>
          <t>remont-naushnikov-pajka</t>
        </is>
      </c>
      <c r="F88" s="2" t="inlineStr">
        <is>
          <t>пайка шнуров и наушников</t>
        </is>
      </c>
      <c r="G88" s="2" t="inlineStr">
        <is>
          <t>Контекстная перелинковка</t>
        </is>
      </c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7">
      <c r="A89" s="2" t="n">
        <v>34</v>
      </c>
      <c r="B89" s="2" t="inlineStr">
        <is>
          <t>Пайка платы телефона: что нужно знать перед началом</t>
        </is>
      </c>
      <c r="C89" s="2" t="inlineStr">
        <is>
          <t>pajka-platy-telefona</t>
        </is>
      </c>
      <c r="D89" s="2" t="n">
        <v>37</v>
      </c>
      <c r="E89" s="2" t="inlineStr">
        <is>
          <t>kak-vypayat-detal-s-platy</t>
        </is>
      </c>
      <c r="F89" s="2" t="inlineStr">
        <is>
          <t>выпайка деталей с платы</t>
        </is>
      </c>
      <c r="G89" s="2" t="inlineStr">
        <is>
          <t>Контекстная перелинковка</t>
        </is>
      </c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7">
      <c r="A90" s="2" t="n">
        <v>34</v>
      </c>
      <c r="B90" s="2" t="inlineStr">
        <is>
          <t>Пайка платы телефона: что нужно знать перед началом</t>
        </is>
      </c>
      <c r="C90" s="2" t="inlineStr">
        <is>
          <t>pajka-platy-telefona</t>
        </is>
      </c>
      <c r="D90" s="2" t="n">
        <v>51</v>
      </c>
      <c r="E90" s="2" t="inlineStr">
        <is>
          <t>payka-bga-rebolling-dlya-nachinayushchih</t>
        </is>
      </c>
      <c r="F90" s="2" t="inlineStr">
        <is>
          <t>реболлинг BGA чипов</t>
        </is>
      </c>
      <c r="G90" s="2" t="inlineStr">
        <is>
          <t>Контекстная перелинковка</t>
        </is>
      </c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7">
      <c r="A91" s="2" t="n">
        <v>35</v>
      </c>
      <c r="B91" s="2" t="inlineStr">
        <is>
          <t>Как перепаять разъём зарядки на плате</t>
        </is>
      </c>
      <c r="C91" s="2" t="inlineStr">
        <is>
          <t>kak-perepayat-razyom-zaryadki</t>
        </is>
      </c>
      <c r="D91" s="2" t="n">
        <v>34</v>
      </c>
      <c r="E91" s="2" t="inlineStr">
        <is>
          <t>pajka-platy-telefona</t>
        </is>
      </c>
      <c r="F91" s="2" t="inlineStr">
        <is>
          <t>пайка плат телефонов</t>
        </is>
      </c>
      <c r="G91" s="2" t="inlineStr">
        <is>
          <t>Контекстная перелинковка</t>
        </is>
      </c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7">
      <c r="A92" s="2" t="n">
        <v>35</v>
      </c>
      <c r="B92" s="2" t="inlineStr">
        <is>
          <t>Как перепаять разъём зарядки на плате</t>
        </is>
      </c>
      <c r="C92" s="2" t="inlineStr">
        <is>
          <t>kak-perepayat-razyom-zaryadki</t>
        </is>
      </c>
      <c r="D92" s="2" t="n">
        <v>37</v>
      </c>
      <c r="E92" s="2" t="inlineStr">
        <is>
          <t>kak-vypayat-detal-s-platy</t>
        </is>
      </c>
      <c r="F92" s="2" t="inlineStr">
        <is>
          <t>демонтаж разъёма</t>
        </is>
      </c>
      <c r="G92" s="2" t="inlineStr">
        <is>
          <t>Контекстная перелинковка</t>
        </is>
      </c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7">
      <c r="A93" s="2" t="n">
        <v>36</v>
      </c>
      <c r="B93" s="2" t="inlineStr">
        <is>
          <t>Ремонт наушников своими руками: пайка проводов</t>
        </is>
      </c>
      <c r="C93" s="2" t="inlineStr">
        <is>
          <t>remont-naushnikov-pajka</t>
        </is>
      </c>
      <c r="D93" s="2" t="n">
        <v>3</v>
      </c>
      <c r="E93" s="2" t="inlineStr">
        <is>
          <t>pajka-provodov-kak-soedinit</t>
        </is>
      </c>
      <c r="F93" s="2" t="inlineStr">
        <is>
          <t>пайка тонких проводов</t>
        </is>
      </c>
      <c r="G93" s="2" t="inlineStr">
        <is>
          <t>Контекстная перелинковка</t>
        </is>
      </c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7">
      <c r="A94" s="2" t="n">
        <v>36</v>
      </c>
      <c r="B94" s="2" t="inlineStr">
        <is>
          <t>Ремонт наушников своими руками: пайка проводов</t>
        </is>
      </c>
      <c r="C94" s="2" t="inlineStr">
        <is>
          <t>remont-naushnikov-pajka</t>
        </is>
      </c>
      <c r="D94" s="2" t="n">
        <v>50</v>
      </c>
      <c r="E94" s="2" t="inlineStr">
        <is>
          <t>termousadka-posle-pajki</t>
        </is>
      </c>
      <c r="F94" s="2" t="inlineStr">
        <is>
          <t>изоляция термоусадкой</t>
        </is>
      </c>
      <c r="G94" s="2" t="inlineStr">
        <is>
          <t>Контекстная перелинковка</t>
        </is>
      </c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7">
      <c r="A95" s="2" t="n">
        <v>37</v>
      </c>
      <c r="B95" s="2" t="inlineStr">
        <is>
          <t>Как выпаять деталь с платы без повреждений</t>
        </is>
      </c>
      <c r="C95" s="2" t="inlineStr">
        <is>
          <t>kak-vypayat-detal-s-platy</t>
        </is>
      </c>
      <c r="D95" s="2" t="n">
        <v>39</v>
      </c>
      <c r="E95" s="2" t="inlineStr">
        <is>
          <t>opletka-dlya-snyatiya-pripoya</t>
        </is>
      </c>
      <c r="F95" s="2" t="inlineStr">
        <is>
          <t>медная оплетка для демонтажа</t>
        </is>
      </c>
      <c r="G95" s="2" t="inlineStr">
        <is>
          <t>Контекстная перелинковка</t>
        </is>
      </c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7">
      <c r="A96" s="2" t="n">
        <v>37</v>
      </c>
      <c r="B96" s="2" t="inlineStr">
        <is>
          <t>Как выпаять деталь с платы без повреждений</t>
        </is>
      </c>
      <c r="C96" s="2" t="inlineStr">
        <is>
          <t>kak-vypayat-detal-s-platy</t>
        </is>
      </c>
      <c r="D96" s="2" t="n">
        <v>34</v>
      </c>
      <c r="E96" s="2" t="inlineStr">
        <is>
          <t>pajka-platy-telefona</t>
        </is>
      </c>
      <c r="F96" s="2" t="inlineStr">
        <is>
          <t>ремонт плат</t>
        </is>
      </c>
      <c r="G96" s="2" t="inlineStr">
        <is>
          <t>Контекстная перелинковка</t>
        </is>
      </c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7">
      <c r="A97" s="2" t="n">
        <v>38</v>
      </c>
      <c r="B97" s="2" t="inlineStr">
        <is>
          <t>Держатель для пайки (третья рука): нужен ли и какой выбрать</t>
        </is>
      </c>
      <c r="C97" s="2" t="inlineStr">
        <is>
          <t>derzhatel-dlya-pajki-tretya-ruka</t>
        </is>
      </c>
      <c r="D97" s="2" t="n">
        <v>39</v>
      </c>
      <c r="E97" s="2" t="inlineStr">
        <is>
          <t>opletka-dlya-snyatiya-pripoya</t>
        </is>
      </c>
      <c r="F97" s="2" t="inlineStr">
        <is>
          <t>медная оплетка</t>
        </is>
      </c>
      <c r="G97" s="2" t="inlineStr">
        <is>
          <t>Контекстная перелинковка</t>
        </is>
      </c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7">
      <c r="A98" s="2" t="n">
        <v>38</v>
      </c>
      <c r="B98" s="2" t="inlineStr">
        <is>
          <t>Держатель для пайки (третья рука): нужен ли и какой выбрать</t>
        </is>
      </c>
      <c r="C98" s="2" t="inlineStr">
        <is>
          <t>derzhatel-dlya-pajki-tretya-ruka</t>
        </is>
      </c>
      <c r="D98" s="2" t="n">
        <v>40</v>
      </c>
      <c r="E98" s="2" t="inlineStr">
        <is>
          <t>podstavka-i-gubka-dlya-payalnika</t>
        </is>
      </c>
      <c r="F98" s="2" t="inlineStr">
        <is>
          <t>подставка под паяльник</t>
        </is>
      </c>
      <c r="G98" s="2" t="inlineStr">
        <is>
          <t>Контекстная перелинковка</t>
        </is>
      </c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7">
      <c r="A99" s="2" t="n">
        <v>38</v>
      </c>
      <c r="B99" s="2" t="inlineStr">
        <is>
          <t>Держатель для пайки (третья рука): нужен ли и какой выбрать</t>
        </is>
      </c>
      <c r="C99" s="2" t="inlineStr">
        <is>
          <t>derzhatel-dlya-pajki-tretya-ruka</t>
        </is>
      </c>
      <c r="D99" s="2" t="n">
        <v>53</v>
      </c>
      <c r="E99" s="2" t="inlineStr">
        <is>
          <t>vybor-mikroskopa-dlya-pajki</t>
        </is>
      </c>
      <c r="F99" s="2" t="inlineStr">
        <is>
          <t>микроскопы для пайки</t>
        </is>
      </c>
      <c r="G99" s="2" t="inlineStr">
        <is>
          <t>Контекстная перелинковка</t>
        </is>
      </c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7">
      <c r="A100" s="2" t="n">
        <v>39</v>
      </c>
      <c r="B100" s="2" t="inlineStr">
        <is>
          <t>Оплётка для снятия припоя: как использовать правильно</t>
        </is>
      </c>
      <c r="C100" s="2" t="inlineStr">
        <is>
          <t>opletka-dlya-snyatiya-pripoya</t>
        </is>
      </c>
      <c r="D100" s="2" t="n">
        <v>38</v>
      </c>
      <c r="E100" s="2" t="inlineStr">
        <is>
          <t>derzhatel-dlya-pajki-tretya-ruka</t>
        </is>
      </c>
      <c r="F100" s="2" t="inlineStr">
        <is>
          <t>оснастка для пайки</t>
        </is>
      </c>
      <c r="G100" s="2" t="inlineStr">
        <is>
          <t>Контекстная перелинковка</t>
        </is>
      </c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7">
      <c r="A101" s="2" t="n">
        <v>39</v>
      </c>
      <c r="B101" s="2" t="inlineStr">
        <is>
          <t>Оплётка для снятия припоя: как использовать правильно</t>
        </is>
      </c>
      <c r="C101" s="2" t="inlineStr">
        <is>
          <t>opletka-dlya-snyatiya-pripoya</t>
        </is>
      </c>
      <c r="D101" s="2" t="n">
        <v>28</v>
      </c>
      <c r="E101" s="2" t="inlineStr">
        <is>
          <t>kak-ubrat-most-pripoya</t>
        </is>
      </c>
      <c r="F101" s="2" t="inlineStr">
        <is>
          <t>устранение мостиков припоя</t>
        </is>
      </c>
      <c r="G101" s="2" t="inlineStr">
        <is>
          <t>Контекстная перелинковка</t>
        </is>
      </c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7">
      <c r="A102" s="2" t="n">
        <v>40</v>
      </c>
      <c r="B102" s="2" t="inlineStr">
        <is>
          <t>Подставка и губка для паяльника: зачем нужны</t>
        </is>
      </c>
      <c r="C102" s="2" t="inlineStr">
        <is>
          <t>podstavka-i-gubka-dlya-payalnika</t>
        </is>
      </c>
      <c r="D102" s="2" t="n">
        <v>38</v>
      </c>
      <c r="E102" s="2" t="inlineStr">
        <is>
          <t>derzhatel-dlya-pajki-tretya-ruka</t>
        </is>
      </c>
      <c r="F102" s="2" t="inlineStr">
        <is>
          <t>оснастка</t>
        </is>
      </c>
      <c r="G102" s="2" t="inlineStr">
        <is>
          <t>Контекстная перелинковка</t>
        </is>
      </c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7">
      <c r="A103" s="2" t="n">
        <v>40</v>
      </c>
      <c r="B103" s="2" t="inlineStr">
        <is>
          <t>Подставка и губка для паяльника: зачем нужны</t>
        </is>
      </c>
      <c r="C103" s="2" t="inlineStr">
        <is>
          <t>podstavka-i-gubka-dlya-payalnika</t>
        </is>
      </c>
      <c r="D103" s="2" t="n">
        <v>42</v>
      </c>
      <c r="E103" s="2" t="inlineStr">
        <is>
          <t>kak-chistit-i-ludit-zhalo</t>
        </is>
      </c>
      <c r="F103" s="2" t="inlineStr">
        <is>
          <t>губка и стружка для очистки жала</t>
        </is>
      </c>
      <c r="G103" s="2" t="inlineStr">
        <is>
          <t>Контекстная перелинковка</t>
        </is>
      </c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7">
      <c r="A104" s="2" t="n">
        <v>41</v>
      </c>
      <c r="B104" s="2" t="inlineStr">
        <is>
          <t>Жало для паяльника: типы, уход, когда менять</t>
        </is>
      </c>
      <c r="C104" s="2" t="inlineStr">
        <is>
          <t>zhalo-dlya-payalnika-tipy</t>
        </is>
      </c>
      <c r="D104" s="2" t="n">
        <v>42</v>
      </c>
      <c r="E104" s="2" t="inlineStr">
        <is>
          <t>kak-chistit-i-ludit-zhalo</t>
        </is>
      </c>
      <c r="F104" s="2" t="inlineStr">
        <is>
          <t>чистка и лужение жала</t>
        </is>
      </c>
      <c r="G104" s="2" t="inlineStr">
        <is>
          <t>Контекстная перелинковка</t>
        </is>
      </c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7">
      <c r="A105" s="2" t="n">
        <v>41</v>
      </c>
      <c r="B105" s="2" t="inlineStr">
        <is>
          <t>Жало для паяльника: типы, уход, когда менять</t>
        </is>
      </c>
      <c r="C105" s="2" t="inlineStr">
        <is>
          <t>zhalo-dlya-payalnika-tipy</t>
        </is>
      </c>
      <c r="D105" s="2" t="n">
        <v>13</v>
      </c>
      <c r="E105" s="2" t="inlineStr">
        <is>
          <t>payalniki-t12-obzor</t>
        </is>
      </c>
      <c r="F105" s="2" t="inlineStr">
        <is>
          <t>жала системы T12</t>
        </is>
      </c>
      <c r="G105" s="2" t="inlineStr">
        <is>
          <t>Контекстная перелинковка</t>
        </is>
      </c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7">
      <c r="A106" s="2" t="n">
        <v>42</v>
      </c>
      <c r="B106" s="2" t="inlineStr">
        <is>
          <t>Как правильно чистить и лудить жало паяльника</t>
        </is>
      </c>
      <c r="C106" s="2" t="inlineStr">
        <is>
          <t>kak-chistit-i-ludit-zhalo</t>
        </is>
      </c>
      <c r="D106" s="2" t="n">
        <v>41</v>
      </c>
      <c r="E106" s="2" t="inlineStr">
        <is>
          <t>zhalo-dlya-payalnika-tipy</t>
        </is>
      </c>
      <c r="F106" s="2" t="inlineStr">
        <is>
          <t>типы жал</t>
        </is>
      </c>
      <c r="G106" s="2" t="inlineStr">
        <is>
          <t>Контекстная перелинковка</t>
        </is>
      </c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7">
      <c r="A107" s="2" t="n">
        <v>42</v>
      </c>
      <c r="B107" s="2" t="inlineStr">
        <is>
          <t>Как правильно чистить и лудить жало паяльника</t>
        </is>
      </c>
      <c r="C107" s="2" t="inlineStr">
        <is>
          <t>kak-chistit-i-ludit-zhalo</t>
        </is>
      </c>
      <c r="D107" s="2" t="n">
        <v>27</v>
      </c>
      <c r="E107" s="2" t="inlineStr">
        <is>
          <t>pripoj-ne-plavitsya-prichiny</t>
        </is>
      </c>
      <c r="F107" s="2" t="inlineStr">
        <is>
          <t>очистка почерневшего жала</t>
        </is>
      </c>
      <c r="G107" s="2" t="inlineStr">
        <is>
          <t>Контекстная перелинковка</t>
        </is>
      </c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7">
      <c r="A108" s="2" t="n">
        <v>43</v>
      </c>
      <c r="B108" s="2" t="inlineStr">
        <is>
          <t>Техника безопасности при пайке: что важно соблюдать</t>
        </is>
      </c>
      <c r="C108" s="2" t="inlineStr">
        <is>
          <t>tehnika-bezopasnosti-pri-pajke</t>
        </is>
      </c>
      <c r="D108" s="2" t="n">
        <v>44</v>
      </c>
      <c r="E108" s="2" t="inlineStr">
        <is>
          <t>vreden-li-dym-ot-flyusa</t>
        </is>
      </c>
      <c r="F108" s="2" t="inlineStr">
        <is>
          <t>вред дыма от канифоли</t>
        </is>
      </c>
      <c r="G108" s="2" t="inlineStr">
        <is>
          <t>Контекстная перелинковка</t>
        </is>
      </c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7">
      <c r="A109" s="2" t="n">
        <v>43</v>
      </c>
      <c r="B109" s="2" t="inlineStr">
        <is>
          <t>Техника безопасности при пайке: что важно соблюдать</t>
        </is>
      </c>
      <c r="C109" s="2" t="inlineStr">
        <is>
          <t>tehnika-bezopasnosti-pri-pajke</t>
        </is>
      </c>
      <c r="D109" s="2" t="n">
        <v>45</v>
      </c>
      <c r="E109" s="2" t="inlineStr">
        <is>
          <t>ventilyaciya-dlya-pajki</t>
        </is>
      </c>
      <c r="F109" s="2" t="inlineStr">
        <is>
          <t>вытяжка для пайки</t>
        </is>
      </c>
      <c r="G109" s="2" t="inlineStr">
        <is>
          <t>Контекстная перелинковка</t>
        </is>
      </c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7">
      <c r="A110" s="2" t="n">
        <v>43</v>
      </c>
      <c r="B110" s="2" t="inlineStr">
        <is>
          <t>Техника безопасности при пайке: что важно соблюдать</t>
        </is>
      </c>
      <c r="C110" s="2" t="inlineStr">
        <is>
          <t>tehnika-bezopasnosti-pri-pajke</t>
        </is>
      </c>
      <c r="D110" s="2" t="n">
        <v>17</v>
      </c>
      <c r="E110" s="2" t="inlineStr">
        <is>
          <t>bessvincovyj-pripoj</t>
        </is>
      </c>
      <c r="F110" s="2" t="inlineStr">
        <is>
          <t>свинец в припое</t>
        </is>
      </c>
      <c r="G110" s="2" t="inlineStr">
        <is>
          <t>Контекстная перелинковка</t>
        </is>
      </c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7">
      <c r="A111" s="2" t="n">
        <v>44</v>
      </c>
      <c r="B111" s="2" t="inlineStr">
        <is>
          <t>Вреден ли дым от флюса и как защититься</t>
        </is>
      </c>
      <c r="C111" s="2" t="inlineStr">
        <is>
          <t>vreden-li-dym-ot-flyusa</t>
        </is>
      </c>
      <c r="D111" s="2" t="n">
        <v>43</v>
      </c>
      <c r="E111" s="2" t="inlineStr">
        <is>
          <t>tehnika-bezopasnosti-pri-pajke</t>
        </is>
      </c>
      <c r="F111" s="2" t="inlineStr">
        <is>
          <t>техника безопасности</t>
        </is>
      </c>
      <c r="G111" s="2" t="inlineStr">
        <is>
          <t>Контекстная перелинковка</t>
        </is>
      </c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7">
      <c r="A112" s="2" t="n">
        <v>44</v>
      </c>
      <c r="B112" s="2" t="inlineStr">
        <is>
          <t>Вреден ли дым от флюса и как защититься</t>
        </is>
      </c>
      <c r="C112" s="2" t="inlineStr">
        <is>
          <t>vreden-li-dym-ot-flyusa</t>
        </is>
      </c>
      <c r="D112" s="2" t="n">
        <v>45</v>
      </c>
      <c r="E112" s="2" t="inlineStr">
        <is>
          <t>ventilyaciya-dlya-pajki</t>
        </is>
      </c>
      <c r="F112" s="2" t="inlineStr">
        <is>
          <t>дымоуловитель для пайки</t>
        </is>
      </c>
      <c r="G112" s="2" t="inlineStr">
        <is>
          <t>Контекстная перелинковка</t>
        </is>
      </c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7">
      <c r="A113" s="2" t="n">
        <v>45</v>
      </c>
      <c r="B113" s="2" t="inlineStr">
        <is>
          <t>Вентиляция и вытяжка для рабочего места пайки</t>
        </is>
      </c>
      <c r="C113" s="2" t="inlineStr">
        <is>
          <t>ventilyaciya-dlya-pajki</t>
        </is>
      </c>
      <c r="D113" s="2" t="n">
        <v>43</v>
      </c>
      <c r="E113" s="2" t="inlineStr">
        <is>
          <t>tehnika-bezopasnosti-pri-pajke</t>
        </is>
      </c>
      <c r="F113" s="2" t="inlineStr">
        <is>
          <t>безопасность дома</t>
        </is>
      </c>
      <c r="G113" s="2" t="inlineStr">
        <is>
          <t>Контекстная перелинковка</t>
        </is>
      </c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7">
      <c r="A114" s="2" t="n">
        <v>45</v>
      </c>
      <c r="B114" s="2" t="inlineStr">
        <is>
          <t>Вентиляция и вытяжка для рабочего места пайки</t>
        </is>
      </c>
      <c r="C114" s="2" t="inlineStr">
        <is>
          <t>ventilyaciya-dlya-pajki</t>
        </is>
      </c>
      <c r="D114" s="2" t="n">
        <v>46</v>
      </c>
      <c r="E114" s="2" t="inlineStr">
        <is>
          <t>kak-organizovat-mesto-dlya-pajki</t>
        </is>
      </c>
      <c r="F114" s="2" t="inlineStr">
        <is>
          <t>оборудование рабочего места</t>
        </is>
      </c>
      <c r="G114" s="2" t="inlineStr">
        <is>
          <t>Контекстная перелинковка</t>
        </is>
      </c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7">
      <c r="A115" s="2" t="n">
        <v>46</v>
      </c>
      <c r="B115" s="2" t="inlineStr">
        <is>
          <t>Как организовать рабочее место для пайки дома</t>
        </is>
      </c>
      <c r="C115" s="2" t="inlineStr">
        <is>
          <t>kak-organizovat-mesto-dlya-pajki</t>
        </is>
      </c>
      <c r="D115" s="2" t="n">
        <v>47</v>
      </c>
      <c r="E115" s="2" t="inlineStr">
        <is>
          <t>nabor-instrumentov-dlya-nachinayuschih</t>
        </is>
      </c>
      <c r="F115" s="2" t="inlineStr">
        <is>
          <t>инструменты радиолюбителя</t>
        </is>
      </c>
      <c r="G115" s="2" t="inlineStr">
        <is>
          <t>Контекстная перелинковка</t>
        </is>
      </c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7">
      <c r="A116" s="2" t="n">
        <v>46</v>
      </c>
      <c r="B116" s="2" t="inlineStr">
        <is>
          <t>Как организовать рабочее место для пайки дома</t>
        </is>
      </c>
      <c r="C116" s="2" t="inlineStr">
        <is>
          <t>kak-organizovat-mesto-dlya-pajki</t>
        </is>
      </c>
      <c r="D116" s="2" t="n">
        <v>45</v>
      </c>
      <c r="E116" s="2" t="inlineStr">
        <is>
          <t>ventilyaciya-dlya-pajki</t>
        </is>
      </c>
      <c r="F116" s="2" t="inlineStr">
        <is>
          <t>вентиляция и вытяжка</t>
        </is>
      </c>
      <c r="G116" s="2" t="inlineStr">
        <is>
          <t>Контекстная перелинковка</t>
        </is>
      </c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7">
      <c r="A117" s="2" t="n">
        <v>47</v>
      </c>
      <c r="B117" s="2" t="inlineStr">
        <is>
          <t>Набор инструментов для начинающего радиолюбителя</t>
        </is>
      </c>
      <c r="C117" s="2" t="inlineStr">
        <is>
          <t>nabor-instrumentov-dlya-nachinayuschih</t>
        </is>
      </c>
      <c r="D117" s="2" t="n">
        <v>46</v>
      </c>
      <c r="E117" s="2" t="inlineStr">
        <is>
          <t>kak-organizovat-mesto-dlya-pajki</t>
        </is>
      </c>
      <c r="F117" s="2" t="inlineStr">
        <is>
          <t>организация рабочего места</t>
        </is>
      </c>
      <c r="G117" s="2" t="inlineStr">
        <is>
          <t>Контекстная перелинковка</t>
        </is>
      </c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7">
      <c r="A118" s="2" t="n">
        <v>47</v>
      </c>
      <c r="B118" s="2" t="inlineStr">
        <is>
          <t>Набор инструментов для начинающего радиолюбителя</t>
        </is>
      </c>
      <c r="C118" s="2" t="inlineStr">
        <is>
          <t>nabor-instrumentov-dlya-nachinayuschih</t>
        </is>
      </c>
      <c r="D118" s="2" t="n">
        <v>2</v>
      </c>
      <c r="E118" s="2" t="inlineStr">
        <is>
          <t>s-chego-nachat-pajku</t>
        </is>
      </c>
      <c r="F118" s="2" t="inlineStr">
        <is>
          <t>минимальный набор</t>
        </is>
      </c>
      <c r="G118" s="2" t="inlineStr">
        <is>
          <t>Контекстная перелинковка</t>
        </is>
      </c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7">
      <c r="A119" s="2" t="n">
        <v>47</v>
      </c>
      <c r="B119" s="2" t="inlineStr">
        <is>
          <t>Набор инструментов для начинающего радиолюбителя</t>
        </is>
      </c>
      <c r="C119" s="2" t="inlineStr">
        <is>
          <t>nabor-instrumentov-dlya-nachinayuschih</t>
        </is>
      </c>
      <c r="D119" s="2" t="n">
        <v>6</v>
      </c>
      <c r="E119" s="2" t="inlineStr">
        <is>
          <t>kakoj-payalnik-vybrat</t>
        </is>
      </c>
      <c r="F119" s="2" t="inlineStr">
        <is>
          <t>выбор паяльника</t>
        </is>
      </c>
      <c r="G119" s="2" t="inlineStr">
        <is>
          <t>Контекстная перелинковка</t>
        </is>
      </c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7">
      <c r="A120" s="2" t="n">
        <v>48</v>
      </c>
      <c r="B120" s="2" t="inlineStr">
        <is>
          <t>Пайка алюминия: особенности и какой припой использовать</t>
        </is>
      </c>
      <c r="C120" s="2" t="inlineStr">
        <is>
          <t>pajka-alyuminiya-osobennosti</t>
        </is>
      </c>
      <c r="D120" s="2" t="n">
        <v>22</v>
      </c>
      <c r="E120" s="2" t="inlineStr">
        <is>
          <t>aktivnyj-flyus-kak-smyt</t>
        </is>
      </c>
      <c r="F120" s="2" t="inlineStr">
        <is>
          <t>активный флюс для алюминия</t>
        </is>
      </c>
      <c r="G120" s="2" t="inlineStr">
        <is>
          <t>Контекстная перелинковка</t>
        </is>
      </c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7">
      <c r="A121" s="2" t="n">
        <v>48</v>
      </c>
      <c r="B121" s="2" t="inlineStr">
        <is>
          <t>Пайка алюминия: особенности и какой припой использовать</t>
        </is>
      </c>
      <c r="C121" s="2" t="inlineStr">
        <is>
          <t>pajka-alyuminiya-osobennosti</t>
        </is>
      </c>
      <c r="D121" s="2" t="n">
        <v>15</v>
      </c>
      <c r="E121" s="2" t="inlineStr">
        <is>
          <t>pripoj-dlya-pajki-vidy</t>
        </is>
      </c>
      <c r="F121" s="2" t="inlineStr">
        <is>
          <t>припой HTS-2000</t>
        </is>
      </c>
      <c r="G121" s="2" t="inlineStr">
        <is>
          <t>Контекстная перелинковка</t>
        </is>
      </c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7">
      <c r="A122" s="2" t="n">
        <v>49</v>
      </c>
      <c r="B122" s="2" t="inlineStr">
        <is>
          <t>Пайка нержавейки: можно ли и как это сделать</t>
        </is>
      </c>
      <c r="C122" s="2" t="inlineStr">
        <is>
          <t>pajka-nerzhavejki</t>
        </is>
      </c>
      <c r="D122" s="2" t="n">
        <v>22</v>
      </c>
      <c r="E122" s="2" t="inlineStr">
        <is>
          <t>aktivnyj-flyus-kak-smyt</t>
        </is>
      </c>
      <c r="F122" s="2" t="inlineStr">
        <is>
          <t>ортофосфорная кислота</t>
        </is>
      </c>
      <c r="G122" s="2" t="inlineStr">
        <is>
          <t>Контекстная перелинковка</t>
        </is>
      </c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7">
      <c r="A123" s="2" t="n">
        <v>49</v>
      </c>
      <c r="B123" s="2" t="inlineStr">
        <is>
          <t>Пайка нержавейки: можно ли и как это сделать</t>
        </is>
      </c>
      <c r="C123" s="2" t="inlineStr">
        <is>
          <t>pajka-nerzhavejki</t>
        </is>
      </c>
      <c r="D123" s="2" t="n">
        <v>48</v>
      </c>
      <c r="E123" s="2" t="inlineStr">
        <is>
          <t>pajka-alyuminiya-osobennosti</t>
        </is>
      </c>
      <c r="F123" s="2" t="inlineStr">
        <is>
          <t>пайка сложных металлов</t>
        </is>
      </c>
      <c r="G123" s="2" t="inlineStr">
        <is>
          <t>Контекстная перелинковка</t>
        </is>
      </c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7">
      <c r="A124" s="2" t="n">
        <v>50</v>
      </c>
      <c r="B124" s="2" t="inlineStr">
        <is>
          <t>Термоусадка после пайки: как использовать правильно</t>
        </is>
      </c>
      <c r="C124" s="2" t="inlineStr">
        <is>
          <t>termousadka-posle-pajki</t>
        </is>
      </c>
      <c r="D124" s="2" t="n">
        <v>3</v>
      </c>
      <c r="E124" s="2" t="inlineStr">
        <is>
          <t>pajka-provodov-kak-soedinit</t>
        </is>
      </c>
      <c r="F124" s="2" t="inlineStr">
        <is>
          <t>пайка и изоляция проводов</t>
        </is>
      </c>
      <c r="G124" s="2" t="inlineStr">
        <is>
          <t>Контекстная перелинковка</t>
        </is>
      </c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7">
      <c r="A125" s="2" t="n">
        <v>50</v>
      </c>
      <c r="B125" s="2" t="inlineStr">
        <is>
          <t>Термоусадка после пайки: как использовать правильно</t>
        </is>
      </c>
      <c r="C125" s="2" t="inlineStr">
        <is>
          <t>termousadka-posle-pajki</t>
        </is>
      </c>
      <c r="D125" s="2" t="n">
        <v>36</v>
      </c>
      <c r="E125" s="2" t="inlineStr">
        <is>
          <t>remont-naushnikov-pajka</t>
        </is>
      </c>
      <c r="F125" s="2" t="inlineStr">
        <is>
          <t>ремонт кабеля</t>
        </is>
      </c>
      <c r="G125" s="2" t="inlineStr">
        <is>
          <t>Контекстная перелинковка</t>
        </is>
      </c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7">
      <c r="A126" s="2" t="n">
        <v>51</v>
      </c>
      <c r="B126" s="2" t="inlineStr">
        <is>
          <t>Пайка BGA микросхем для начинающих: что такое реболлинг и как его сделать</t>
        </is>
      </c>
      <c r="C126" s="2" t="inlineStr">
        <is>
          <t>payka-bga-rebolling-dlya-nachinayushchih</t>
        </is>
      </c>
      <c r="D126" s="2" t="n">
        <v>56</v>
      </c>
      <c r="E126" s="2" t="inlineStr">
        <is>
          <t>trafarety-i-shariki-dlya-bga</t>
        </is>
      </c>
      <c r="F126" s="2" t="inlineStr">
        <is>
          <t>накатка шаров на трафарете</t>
        </is>
      </c>
      <c r="G126" s="2" t="inlineStr">
        <is>
          <t>Контекстная перелинковка</t>
        </is>
      </c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7">
      <c r="A127" s="2" t="n">
        <v>51</v>
      </c>
      <c r="B127" s="2" t="inlineStr">
        <is>
          <t>Пайка BGA микросхем для начинающих: что такое реболлинг и как его сделать</t>
        </is>
      </c>
      <c r="C127" s="2" t="inlineStr">
        <is>
          <t>payka-bga-rebolling-dlya-nachinayushchih</t>
        </is>
      </c>
      <c r="D127" s="2" t="n">
        <v>59</v>
      </c>
      <c r="E127" s="2" t="inlineStr">
        <is>
          <t>nizhnij-podogrev-dlya-pajki</t>
        </is>
      </c>
      <c r="F127" s="2" t="inlineStr">
        <is>
          <t>нижний подогрев для BGA</t>
        </is>
      </c>
      <c r="G127" s="2" t="inlineStr">
        <is>
          <t>Контекстная перелинковка</t>
        </is>
      </c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7">
      <c r="A128" s="2" t="n">
        <v>51</v>
      </c>
      <c r="B128" s="2" t="inlineStr">
        <is>
          <t>Пайка BGA микросхем для начинающих: что такое реболлинг и как его сделать</t>
        </is>
      </c>
      <c r="C128" s="2" t="inlineStr">
        <is>
          <t>payka-bga-rebolling-dlya-nachinayushchih</t>
        </is>
      </c>
      <c r="D128" s="2" t="n">
        <v>52</v>
      </c>
      <c r="E128" s="2" t="inlineStr">
        <is>
          <t>payalnaya-pasta-ili-pripoj</t>
        </is>
      </c>
      <c r="F128" s="2" t="inlineStr">
        <is>
          <t>паяльная паста BGA</t>
        </is>
      </c>
      <c r="G128" s="2" t="inlineStr">
        <is>
          <t>Контекстная перелинковка</t>
        </is>
      </c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7">
      <c r="A129" s="2" t="n">
        <v>52</v>
      </c>
      <c r="B129" s="2" t="inlineStr">
        <is>
          <t>Паяльная паста или припой в проволоке: что выбрать и в чём разница</t>
        </is>
      </c>
      <c r="C129" s="2" t="inlineStr">
        <is>
          <t>payalnaya-pasta-ili-pripoj</t>
        </is>
      </c>
      <c r="D129" s="2" t="n">
        <v>15</v>
      </c>
      <c r="E129" s="2" t="inlineStr">
        <is>
          <t>pripoj-dlya-pajki-vidy</t>
        </is>
      </c>
      <c r="F129" s="2" t="inlineStr">
        <is>
          <t>проволочный припой</t>
        </is>
      </c>
      <c r="G129" s="2" t="inlineStr">
        <is>
          <t>Контекстная перелинковка</t>
        </is>
      </c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7">
      <c r="A130" s="2" t="n">
        <v>52</v>
      </c>
      <c r="B130" s="2" t="inlineStr">
        <is>
          <t>Паяльная паста или припой в проволоке: что выбрать и в чём разница</t>
        </is>
      </c>
      <c r="C130" s="2" t="inlineStr">
        <is>
          <t>payalnaya-pasta-ili-pripoj</t>
        </is>
      </c>
      <c r="D130" s="2" t="n">
        <v>55</v>
      </c>
      <c r="E130" s="2" t="inlineStr">
        <is>
          <t>kak-payat-payalnoj-pastoj-bez-fena</t>
        </is>
      </c>
      <c r="F130" s="2" t="inlineStr">
        <is>
          <t>пайка пастой дома</t>
        </is>
      </c>
      <c r="G130" s="2" t="inlineStr">
        <is>
          <t>Контекстная перелинковка</t>
        </is>
      </c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7">
      <c r="A131" s="2" t="n">
        <v>52</v>
      </c>
      <c r="B131" s="2" t="inlineStr">
        <is>
          <t>Паяльная паста или припой в проволоке: что выбрать и в чём разница</t>
        </is>
      </c>
      <c r="C131" s="2" t="inlineStr">
        <is>
          <t>payalnaya-pasta-ili-pripoj</t>
        </is>
      </c>
      <c r="D131" s="2" t="n">
        <v>20</v>
      </c>
      <c r="E131" s="2" t="inlineStr">
        <is>
          <t>flyus-dlya-pajki-kakoj-vybrat</t>
        </is>
      </c>
      <c r="F131" s="2" t="inlineStr">
        <is>
          <t>флюс-гели</t>
        </is>
      </c>
      <c r="G131" s="2" t="inlineStr">
        <is>
          <t>Контекстная перелинковка</t>
        </is>
      </c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7">
      <c r="A132" s="2" t="n">
        <v>53</v>
      </c>
      <c r="B132" s="2" t="inlineStr">
        <is>
          <t>Как выбрать микроскоп для пайки плат: оптика vs цифра с HDMI/Type-C</t>
        </is>
      </c>
      <c r="C132" s="2" t="inlineStr">
        <is>
          <t>vybor-mikroskopa-dlya-pajki</t>
        </is>
      </c>
      <c r="D132" s="2" t="n">
        <v>30</v>
      </c>
      <c r="E132" s="2" t="inlineStr">
        <is>
          <t>smd-pajka-svoimi-rukami</t>
        </is>
      </c>
      <c r="F132" s="2" t="inlineStr">
        <is>
          <t>пайка мелких планарных чипов</t>
        </is>
      </c>
      <c r="G132" s="2" t="inlineStr">
        <is>
          <t>Контекстная перелинковка</t>
        </is>
      </c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7">
      <c r="A133" s="2" t="n">
        <v>53</v>
      </c>
      <c r="B133" s="2" t="inlineStr">
        <is>
          <t>Как выбрать микроскоп для пайки плат: оптика vs цифра с HDMI/Type-C</t>
        </is>
      </c>
      <c r="C133" s="2" t="inlineStr">
        <is>
          <t>vybor-mikroskopa-dlya-pajki</t>
        </is>
      </c>
      <c r="D133" s="2" t="n">
        <v>38</v>
      </c>
      <c r="E133" s="2" t="inlineStr">
        <is>
          <t>derzhatel-dlya-pajki-tretya-ruka</t>
        </is>
      </c>
      <c r="F133" s="2" t="inlineStr">
        <is>
          <t>оснастка</t>
        </is>
      </c>
      <c r="G133" s="2" t="inlineStr">
        <is>
          <t>Контекстная перелинковка</t>
        </is>
      </c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7">
      <c r="A134" s="2" t="n">
        <v>54</v>
      </c>
      <c r="B134" s="2" t="inlineStr">
        <is>
          <t>Смарт-паяльники на Type-C: обзор и сравнение TS101, Pinecil V2 и FNC88</t>
        </is>
      </c>
      <c r="C134" s="2" t="inlineStr">
        <is>
          <t>smart-payalniki-type-c-obzor</t>
        </is>
      </c>
      <c r="D134" s="2" t="n">
        <v>6</v>
      </c>
      <c r="E134" s="2" t="inlineStr">
        <is>
          <t>kakoj-payalnik-vybrat</t>
        </is>
      </c>
      <c r="F134" s="2" t="inlineStr">
        <is>
          <t>выбор смарт-паяльника</t>
        </is>
      </c>
      <c r="G134" s="2" t="inlineStr">
        <is>
          <t>Контекстная перелинковка</t>
        </is>
      </c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7">
      <c r="A135" s="2" t="n">
        <v>54</v>
      </c>
      <c r="B135" s="2" t="inlineStr">
        <is>
          <t>Смарт-паяльники на Type-C: обзор и сравнение TS101, Pinecil V2 и FNC88</t>
        </is>
      </c>
      <c r="C135" s="2" t="inlineStr">
        <is>
          <t>smart-payalniki-type-c-obzor</t>
        </is>
      </c>
      <c r="D135" s="2" t="n">
        <v>57</v>
      </c>
      <c r="E135" s="2" t="inlineStr">
        <is>
          <t>proshivka-ironos-dlya-payalnikov</t>
        </is>
      </c>
      <c r="F135" s="2" t="inlineStr">
        <is>
          <t>прошивка IronOS</t>
        </is>
      </c>
      <c r="G135" s="2" t="inlineStr">
        <is>
          <t>Контекстная перелинковка</t>
        </is>
      </c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7">
      <c r="A136" s="2" t="n">
        <v>54</v>
      </c>
      <c r="B136" s="2" t="inlineStr">
        <is>
          <t>Смарт-паяльники на Type-C: обзор и сравнение TS101, Pinecil V2 и FNC88</t>
        </is>
      </c>
      <c r="C136" s="2" t="inlineStr">
        <is>
          <t>smart-payalniki-type-c-obzor</t>
        </is>
      </c>
      <c r="D136" s="2" t="n">
        <v>60</v>
      </c>
      <c r="E136" s="2" t="inlineStr">
        <is>
          <t>kak-payat-ot-powerbanka-pd-qc</t>
        </is>
      </c>
      <c r="F136" s="2" t="inlineStr">
        <is>
          <t>питание от Power Delivery</t>
        </is>
      </c>
      <c r="G136" s="2" t="inlineStr">
        <is>
          <t>Контекстная перелинковка</t>
        </is>
      </c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7">
      <c r="A137" s="2" t="n">
        <v>55</v>
      </c>
      <c r="B137" s="2" t="inlineStr">
        <is>
          <t>Как паять паяльной пастой без фена и печи: пошаговый метод</t>
        </is>
      </c>
      <c r="C137" s="2" t="inlineStr">
        <is>
          <t>kak-payat-payalnoj-pastoj-bez-fena</t>
        </is>
      </c>
      <c r="D137" s="2" t="n">
        <v>52</v>
      </c>
      <c r="E137" s="2" t="inlineStr">
        <is>
          <t>payalnaya-pasta-ili-pripoj</t>
        </is>
      </c>
      <c r="F137" s="2" t="inlineStr">
        <is>
          <t>выбор паяльной пасты</t>
        </is>
      </c>
      <c r="G137" s="2" t="inlineStr">
        <is>
          <t>Контекстная перелинковка</t>
        </is>
      </c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7">
      <c r="A138" s="2" t="n">
        <v>55</v>
      </c>
      <c r="B138" s="2" t="inlineStr">
        <is>
          <t>Как паять паяльной пастой без фена и печи: пошаговый метод</t>
        </is>
      </c>
      <c r="C138" s="2" t="inlineStr">
        <is>
          <t>kak-payat-payalnoj-pastoj-bez-fena</t>
        </is>
      </c>
      <c r="D138" s="2" t="n">
        <v>30</v>
      </c>
      <c r="E138" s="2" t="inlineStr">
        <is>
          <t>smd-pajka-svoimi-rukami</t>
        </is>
      </c>
      <c r="F138" s="2" t="inlineStr">
        <is>
          <t>ручной SMD монтаж</t>
        </is>
      </c>
      <c r="G138" s="2" t="inlineStr">
        <is>
          <t>Контекстная перелинковка</t>
        </is>
      </c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7">
      <c r="A139" s="2" t="n">
        <v>56</v>
      </c>
      <c r="B139" s="2" t="inlineStr">
        <is>
          <t>Трафареты и шарики для BGA: как правильно накатать шары на чип</t>
        </is>
      </c>
      <c r="C139" s="2" t="inlineStr">
        <is>
          <t>trafarety-i-shariki-dlya-bga</t>
        </is>
      </c>
      <c r="D139" s="2" t="n">
        <v>51</v>
      </c>
      <c r="E139" s="2" t="inlineStr">
        <is>
          <t>payka-bga-rebolling-dlya-nachinayushchih</t>
        </is>
      </c>
      <c r="F139" s="2" t="inlineStr">
        <is>
          <t>реболлинг BGA</t>
        </is>
      </c>
      <c r="G139" s="2" t="inlineStr">
        <is>
          <t>Контекстная перелинковка</t>
        </is>
      </c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7">
      <c r="A140" s="2" t="n">
        <v>56</v>
      </c>
      <c r="B140" s="2" t="inlineStr">
        <is>
          <t>Трафареты и шарики для BGA: как правильно накатать шары на чип</t>
        </is>
      </c>
      <c r="C140" s="2" t="inlineStr">
        <is>
          <t>trafarety-i-shariki-dlya-bga</t>
        </is>
      </c>
      <c r="D140" s="2" t="n">
        <v>59</v>
      </c>
      <c r="E140" s="2" t="inlineStr">
        <is>
          <t>nizhnij-podogrev-dlya-pajki</t>
        </is>
      </c>
      <c r="F140" s="2" t="inlineStr">
        <is>
          <t>термостол</t>
        </is>
      </c>
      <c r="G140" s="2" t="inlineStr">
        <is>
          <t>Контекстная перелинковка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7">
      <c r="A141" s="2" t="n">
        <v>57</v>
      </c>
      <c r="B141" s="2" t="inlineStr">
        <is>
          <t>Прошивка IronOS для паяльников TS100, TS101 и Pinecil: зачем менять и как настроить</t>
        </is>
      </c>
      <c r="C141" s="2" t="inlineStr">
        <is>
          <t>proshivka-ironos-dlya-payalnikov</t>
        </is>
      </c>
      <c r="D141" s="2" t="n">
        <v>54</v>
      </c>
      <c r="E141" s="2" t="inlineStr">
        <is>
          <t>smart-payalniki-type-c-obzor</t>
        </is>
      </c>
      <c r="F141" s="2" t="inlineStr">
        <is>
          <t>смарт-паяльники TS101 и Pinecil</t>
        </is>
      </c>
      <c r="G141" s="2" t="inlineStr">
        <is>
          <t>Контекстная перелинковка</t>
        </is>
      </c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7">
      <c r="A142" s="2" t="n">
        <v>57</v>
      </c>
      <c r="B142" s="2" t="inlineStr">
        <is>
          <t>Прошивка IronOS для паяльников TS100, TS101 и Pinecil: зачем менять и как настроить</t>
        </is>
      </c>
      <c r="C142" s="2" t="inlineStr">
        <is>
          <t>proshivka-ironos-dlya-payalnikov</t>
        </is>
      </c>
      <c r="D142" s="2" t="n">
        <v>60</v>
      </c>
      <c r="E142" s="2" t="inlineStr">
        <is>
          <t>kak-payat-ot-powerbanka-pd-qc</t>
        </is>
      </c>
      <c r="F142" s="2" t="inlineStr">
        <is>
          <t>настройка профилей мощности</t>
        </is>
      </c>
      <c r="G142" s="2" t="inlineStr">
        <is>
          <t>Контекстная перелинковка</t>
        </is>
      </c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7">
      <c r="A143" s="2" t="n">
        <v>58</v>
      </c>
      <c r="B143" s="2" t="inlineStr">
        <is>
          <t>Ручная пайка мелких компонентов 0201 и 0402: технологии и инструменты</t>
        </is>
      </c>
      <c r="C143" s="2" t="inlineStr">
        <is>
          <t>pajka-komponentov-0201-0402</t>
        </is>
      </c>
      <c r="D143" s="2" t="n">
        <v>30</v>
      </c>
      <c r="E143" s="2" t="inlineStr">
        <is>
          <t>smd-pajka-svoimi-rukami</t>
        </is>
      </c>
      <c r="F143" s="2" t="inlineStr">
        <is>
          <t>базовый SMD монтаж</t>
        </is>
      </c>
      <c r="G143" s="2" t="inlineStr">
        <is>
          <t>Контекстная перелинковка</t>
        </is>
      </c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7">
      <c r="A144" s="2" t="n">
        <v>58</v>
      </c>
      <c r="B144" s="2" t="inlineStr">
        <is>
          <t>Ручная пайка мелких компонентов 0201 и 0402: технологии и инструменты</t>
        </is>
      </c>
      <c r="C144" s="2" t="inlineStr">
        <is>
          <t>pajka-komponentov-0201-0402</t>
        </is>
      </c>
      <c r="D144" s="2" t="n">
        <v>53</v>
      </c>
      <c r="E144" s="2" t="inlineStr">
        <is>
          <t>vybor-mikroskopa-dlya-pajki</t>
        </is>
      </c>
      <c r="F144" s="2" t="inlineStr">
        <is>
          <t>микроскоп для мелких чипов</t>
        </is>
      </c>
      <c r="G144" s="2" t="inlineStr">
        <is>
          <t>Контекстная перелинковка</t>
        </is>
      </c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7">
      <c r="A145" s="2" t="n">
        <v>59</v>
      </c>
      <c r="B145" s="2" t="inlineStr">
        <is>
          <t>Нижний подогрев для пайки плат: зачем нужен и как выбрать термостол</t>
        </is>
      </c>
      <c r="C145" s="2" t="inlineStr">
        <is>
          <t>nizhnij-podogrev-dlya-pajki</t>
        </is>
      </c>
      <c r="D145" s="2" t="n">
        <v>51</v>
      </c>
      <c r="E145" s="2" t="inlineStr">
        <is>
          <t>payka-bga-rebolling-dlya-nachinayushchih</t>
        </is>
      </c>
      <c r="F145" s="2" t="inlineStr">
        <is>
          <t>BGA монтаж</t>
        </is>
      </c>
      <c r="G145" s="2" t="inlineStr">
        <is>
          <t>Контекстная перелинковка</t>
        </is>
      </c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7">
      <c r="A146" s="2" t="n">
        <v>59</v>
      </c>
      <c r="B146" s="2" t="inlineStr">
        <is>
          <t>Нижний подогрев для пайки плат: зачем нужен и как выбрать термостол</t>
        </is>
      </c>
      <c r="C146" s="2" t="inlineStr">
        <is>
          <t>nizhnij-podogrev-dlya-pajki</t>
        </is>
      </c>
      <c r="D146" s="2" t="n">
        <v>56</v>
      </c>
      <c r="E146" s="2" t="inlineStr">
        <is>
          <t>trafarety-i-shariki-dlya-bga</t>
        </is>
      </c>
      <c r="F146" s="2" t="inlineStr">
        <is>
          <t>трафареты BGA</t>
        </is>
      </c>
      <c r="G146" s="2" t="inlineStr">
        <is>
          <t>Контекстная перелинковка</t>
        </is>
      </c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7">
      <c r="A147" s="2" t="n">
        <v>60</v>
      </c>
      <c r="B147" s="2" t="inlineStr">
        <is>
          <t>Как паять от повербанка: протоколы Power Delivery (PD) и Quick Charge (QC)</t>
        </is>
      </c>
      <c r="C147" s="2" t="inlineStr">
        <is>
          <t>kak-payat-ot-powerbanka-pd-qc</t>
        </is>
      </c>
      <c r="D147" s="2" t="n">
        <v>54</v>
      </c>
      <c r="E147" s="2" t="inlineStr">
        <is>
          <t>smart-payalniki-type-c-obzor</t>
        </is>
      </c>
      <c r="F147" s="2" t="inlineStr">
        <is>
          <t>паяльники Type-C</t>
        </is>
      </c>
      <c r="G147" s="2" t="inlineStr">
        <is>
          <t>Контекстная перелинковка</t>
        </is>
      </c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7">
      <c r="A148" s="2" t="n">
        <v>60</v>
      </c>
      <c r="B148" s="2" t="inlineStr">
        <is>
          <t>Как паять от повербанка: протоколы Power Delivery (PD) и Quick Charge (QC)</t>
        </is>
      </c>
      <c r="C148" s="2" t="inlineStr">
        <is>
          <t>kak-payat-ot-powerbanka-pd-qc</t>
        </is>
      </c>
      <c r="D148" s="2" t="n">
        <v>57</v>
      </c>
      <c r="E148" s="2" t="inlineStr">
        <is>
          <t>proshivka-ironos-dlya-payalnikov</t>
        </is>
      </c>
      <c r="F148" s="2" t="inlineStr">
        <is>
          <t>настройка параметров IronOS</t>
        </is>
      </c>
      <c r="G148" s="2" t="inlineStr">
        <is>
          <t>Контекстная перелинковка</t>
        </is>
      </c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7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7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7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7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7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7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7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7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7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7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7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7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7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7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7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7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7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7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7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7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7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7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7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7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7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7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7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7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7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7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7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7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7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7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7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7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7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7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7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7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7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7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7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7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7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7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7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7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7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7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7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7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7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7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7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7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7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7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7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7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7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7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7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7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7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7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7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7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7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7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7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7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7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7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7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7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7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7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7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7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7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7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7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7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7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7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7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7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7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7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7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7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7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7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7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7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7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7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7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7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7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7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7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7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7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7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7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7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7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7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17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17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17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17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17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17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1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17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17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17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17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17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17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17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17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17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1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17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17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17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17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17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17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17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17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17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1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17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17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17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17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17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17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17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17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17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1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17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17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17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17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17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17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17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17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17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17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17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17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17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17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17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17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17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17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1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17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17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17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17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17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17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17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17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17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1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17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17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17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17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17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17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17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17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17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1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17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17">
      <c r="A349" s="5" t="n"/>
      <c r="B349" s="5" t="n"/>
      <c r="C349" s="5" t="n"/>
      <c r="D349" s="5" t="n"/>
      <c r="E349" s="5" t="n"/>
      <c r="F349" s="5" t="n"/>
      <c r="G349" s="5" t="n"/>
    </row>
    <row r="350" ht="15.75" customHeight="1" s="17">
      <c r="A350" s="5" t="n"/>
      <c r="B350" s="5" t="n"/>
      <c r="C350" s="5" t="n"/>
      <c r="D350" s="5" t="n"/>
      <c r="E350" s="5" t="n"/>
      <c r="F350" s="5" t="n"/>
      <c r="G350" s="5" t="n"/>
    </row>
    <row r="351" ht="15.75" customHeight="1" s="17">
      <c r="A351" s="5" t="n"/>
      <c r="B351" s="5" t="n"/>
      <c r="C351" s="5" t="n"/>
      <c r="D351" s="5" t="n"/>
      <c r="E351" s="5" t="n"/>
      <c r="F351" s="5" t="n"/>
      <c r="G351" s="5" t="n"/>
    </row>
    <row r="352" ht="15.75" customHeight="1" s="17">
      <c r="A352" s="5" t="n"/>
      <c r="B352" s="5" t="n"/>
      <c r="C352" s="5" t="n"/>
      <c r="D352" s="5" t="n"/>
      <c r="E352" s="5" t="n"/>
      <c r="F352" s="5" t="n"/>
      <c r="G352" s="5" t="n"/>
    </row>
    <row r="353" ht="15.75" customHeight="1" s="17">
      <c r="A353" s="5" t="n"/>
      <c r="B353" s="5" t="n"/>
      <c r="C353" s="5" t="n"/>
      <c r="D353" s="5" t="n"/>
      <c r="E353" s="5" t="n"/>
      <c r="F353" s="5" t="n"/>
      <c r="G353" s="5" t="n"/>
    </row>
    <row r="354" ht="15.75" customHeight="1" s="17">
      <c r="A354" s="5" t="n"/>
      <c r="B354" s="5" t="n"/>
      <c r="C354" s="5" t="n"/>
      <c r="D354" s="5" t="n"/>
      <c r="E354" s="5" t="n"/>
      <c r="F354" s="5" t="n"/>
      <c r="G354" s="5" t="n"/>
    </row>
    <row r="355" ht="15.75" customHeight="1" s="17">
      <c r="A355" s="5" t="n"/>
      <c r="B355" s="5" t="n"/>
      <c r="C355" s="5" t="n"/>
      <c r="D355" s="5" t="n"/>
      <c r="E355" s="5" t="n"/>
      <c r="F355" s="5" t="n"/>
      <c r="G355" s="5" t="n"/>
    </row>
    <row r="356" ht="15.75" customHeight="1" s="17">
      <c r="A356" s="5" t="n"/>
      <c r="B356" s="5" t="n"/>
      <c r="C356" s="5" t="n"/>
      <c r="D356" s="5" t="n"/>
      <c r="E356" s="5" t="n"/>
      <c r="F356" s="5" t="n"/>
      <c r="G356" s="5" t="n"/>
    </row>
    <row r="357" ht="15.75" customHeight="1" s="17">
      <c r="A357" s="5" t="n"/>
      <c r="B357" s="5" t="n"/>
      <c r="C357" s="5" t="n"/>
      <c r="D357" s="5" t="n"/>
      <c r="E357" s="5" t="n"/>
      <c r="F357" s="5" t="n"/>
      <c r="G357" s="5" t="n"/>
    </row>
    <row r="358" ht="15.75" customHeight="1" s="17">
      <c r="A358" s="5" t="n"/>
      <c r="B358" s="5" t="n"/>
      <c r="C358" s="5" t="n"/>
      <c r="D358" s="5" t="n"/>
      <c r="E358" s="5" t="n"/>
      <c r="F358" s="5" t="n"/>
      <c r="G358" s="5" t="n"/>
    </row>
    <row r="359" ht="15.75" customHeight="1" s="17">
      <c r="A359" s="5" t="n"/>
      <c r="B359" s="5" t="n"/>
      <c r="C359" s="5" t="n"/>
      <c r="D359" s="5" t="n"/>
      <c r="E359" s="5" t="n"/>
      <c r="F359" s="5" t="n"/>
      <c r="G359" s="5" t="n"/>
    </row>
    <row r="360" ht="15.75" customHeight="1" s="17">
      <c r="A360" s="5" t="n"/>
      <c r="B360" s="5" t="n"/>
      <c r="C360" s="5" t="n"/>
      <c r="D360" s="5" t="n"/>
      <c r="E360" s="5" t="n"/>
      <c r="F360" s="5" t="n"/>
      <c r="G360" s="5" t="n"/>
    </row>
    <row r="361" ht="15.75" customHeight="1" s="17">
      <c r="A361" s="5" t="n"/>
      <c r="B361" s="5" t="n"/>
      <c r="C361" s="5" t="n"/>
      <c r="D361" s="5" t="n"/>
      <c r="E361" s="5" t="n"/>
      <c r="F361" s="5" t="n"/>
      <c r="G361" s="5" t="n"/>
    </row>
    <row r="362" ht="15.75" customHeight="1" s="17">
      <c r="A362" s="5" t="n"/>
      <c r="B362" s="5" t="n"/>
      <c r="C362" s="5" t="n"/>
      <c r="D362" s="5" t="n"/>
      <c r="E362" s="5" t="n"/>
      <c r="F362" s="5" t="n"/>
      <c r="G362" s="5" t="n"/>
    </row>
    <row r="363" ht="15.75" customHeight="1" s="17">
      <c r="A363" s="5" t="n"/>
      <c r="B363" s="5" t="n"/>
      <c r="C363" s="5" t="n"/>
      <c r="D363" s="5" t="n"/>
      <c r="E363" s="5" t="n"/>
      <c r="F363" s="5" t="n"/>
      <c r="G363" s="5" t="n"/>
    </row>
    <row r="364" ht="15.75" customHeight="1" s="17">
      <c r="A364" s="5" t="n"/>
      <c r="B364" s="5" t="n"/>
      <c r="C364" s="5" t="n"/>
      <c r="D364" s="5" t="n"/>
      <c r="E364" s="5" t="n"/>
      <c r="F364" s="5" t="n"/>
      <c r="G364" s="5" t="n"/>
    </row>
    <row r="365" ht="15.75" customHeight="1" s="17">
      <c r="A365" s="5" t="n"/>
      <c r="B365" s="5" t="n"/>
      <c r="C365" s="5" t="n"/>
      <c r="D365" s="5" t="n"/>
      <c r="E365" s="5" t="n"/>
      <c r="F365" s="5" t="n"/>
      <c r="G365" s="5" t="n"/>
    </row>
    <row r="366" ht="15.75" customHeight="1" s="17">
      <c r="A366" s="5" t="n"/>
      <c r="B366" s="5" t="n"/>
      <c r="C366" s="5" t="n"/>
      <c r="D366" s="5" t="n"/>
      <c r="E366" s="5" t="n"/>
      <c r="F366" s="5" t="n"/>
      <c r="G366" s="5" t="n"/>
    </row>
    <row r="367" ht="15.75" customHeight="1" s="17">
      <c r="A367" s="5" t="n"/>
      <c r="B367" s="5" t="n"/>
      <c r="C367" s="5" t="n"/>
      <c r="D367" s="5" t="n"/>
      <c r="E367" s="5" t="n"/>
      <c r="F367" s="5" t="n"/>
      <c r="G367" s="5" t="n"/>
    </row>
    <row r="368" ht="15.75" customHeight="1" s="17">
      <c r="A368" s="5" t="n"/>
      <c r="B368" s="5" t="n"/>
      <c r="C368" s="5" t="n"/>
      <c r="D368" s="5" t="n"/>
      <c r="E368" s="5" t="n"/>
      <c r="F368" s="5" t="n"/>
      <c r="G368" s="5" t="n"/>
    </row>
    <row r="369" ht="15.75" customHeight="1" s="17">
      <c r="A369" s="5" t="n"/>
      <c r="B369" s="5" t="n"/>
      <c r="C369" s="5" t="n"/>
      <c r="D369" s="5" t="n"/>
      <c r="E369" s="5" t="n"/>
      <c r="F369" s="5" t="n"/>
      <c r="G369" s="5" t="n"/>
    </row>
    <row r="370" ht="15.75" customHeight="1" s="17">
      <c r="A370" s="5" t="n"/>
      <c r="B370" s="5" t="n"/>
      <c r="C370" s="5" t="n"/>
      <c r="D370" s="5" t="n"/>
      <c r="E370" s="5" t="n"/>
      <c r="F370" s="5" t="n"/>
      <c r="G370" s="5" t="n"/>
    </row>
    <row r="371" ht="15.75" customHeight="1" s="17">
      <c r="A371" s="5" t="n"/>
      <c r="B371" s="5" t="n"/>
      <c r="C371" s="5" t="n"/>
      <c r="D371" s="5" t="n"/>
      <c r="E371" s="5" t="n"/>
      <c r="F371" s="5" t="n"/>
      <c r="G371" s="5" t="n"/>
    </row>
    <row r="372" ht="15.75" customHeight="1" s="17">
      <c r="A372" s="5" t="n"/>
      <c r="B372" s="5" t="n"/>
      <c r="C372" s="5" t="n"/>
      <c r="D372" s="5" t="n"/>
      <c r="E372" s="5" t="n"/>
      <c r="F372" s="5" t="n"/>
      <c r="G372" s="5" t="n"/>
    </row>
    <row r="373" ht="15.75" customHeight="1" s="17">
      <c r="A373" s="5" t="n"/>
      <c r="B373" s="5" t="n"/>
      <c r="C373" s="5" t="n"/>
      <c r="D373" s="5" t="n"/>
      <c r="E373" s="5" t="n"/>
      <c r="F373" s="5" t="n"/>
      <c r="G373" s="5" t="n"/>
    </row>
    <row r="374" ht="15.75" customHeight="1" s="17">
      <c r="A374" s="5" t="n"/>
      <c r="B374" s="5" t="n"/>
      <c r="C374" s="5" t="n"/>
      <c r="D374" s="5" t="n"/>
      <c r="E374" s="5" t="n"/>
      <c r="F374" s="5" t="n"/>
      <c r="G374" s="5" t="n"/>
    </row>
    <row r="375" ht="15.75" customHeight="1" s="17">
      <c r="A375" s="5" t="n"/>
      <c r="B375" s="5" t="n"/>
      <c r="C375" s="5" t="n"/>
      <c r="D375" s="5" t="n"/>
      <c r="E375" s="5" t="n"/>
      <c r="F375" s="5" t="n"/>
      <c r="G375" s="5" t="n"/>
    </row>
    <row r="376" ht="15.75" customHeight="1" s="17">
      <c r="A376" s="5" t="n"/>
      <c r="B376" s="5" t="n"/>
      <c r="C376" s="5" t="n"/>
      <c r="D376" s="5" t="n"/>
      <c r="E376" s="5" t="n"/>
      <c r="F376" s="5" t="n"/>
      <c r="G376" s="5" t="n"/>
    </row>
    <row r="377" ht="15.75" customHeight="1" s="17">
      <c r="A377" s="5" t="n"/>
      <c r="B377" s="5" t="n"/>
      <c r="C377" s="5" t="n"/>
      <c r="D377" s="5" t="n"/>
      <c r="E377" s="5" t="n"/>
      <c r="F377" s="5" t="n"/>
      <c r="G377" s="5" t="n"/>
    </row>
    <row r="378" ht="15.75" customHeight="1" s="17">
      <c r="A378" s="5" t="n"/>
      <c r="B378" s="5" t="n"/>
      <c r="C378" s="5" t="n"/>
      <c r="D378" s="5" t="n"/>
      <c r="E378" s="5" t="n"/>
      <c r="F378" s="5" t="n"/>
      <c r="G378" s="5" t="n"/>
    </row>
    <row r="379" ht="15.75" customHeight="1" s="17">
      <c r="A379" s="5" t="n"/>
      <c r="B379" s="5" t="n"/>
      <c r="C379" s="5" t="n"/>
      <c r="D379" s="5" t="n"/>
      <c r="E379" s="5" t="n"/>
      <c r="F379" s="5" t="n"/>
      <c r="G379" s="5" t="n"/>
    </row>
    <row r="380" ht="15.75" customHeight="1" s="17">
      <c r="A380" s="5" t="n"/>
      <c r="B380" s="5" t="n"/>
      <c r="C380" s="5" t="n"/>
      <c r="D380" s="5" t="n"/>
      <c r="E380" s="5" t="n"/>
      <c r="F380" s="5" t="n"/>
      <c r="G380" s="5" t="n"/>
    </row>
    <row r="381" ht="15.75" customHeight="1" s="17">
      <c r="A381" s="5" t="n"/>
      <c r="B381" s="5" t="n"/>
      <c r="C381" s="5" t="n"/>
      <c r="D381" s="5" t="n"/>
      <c r="E381" s="5" t="n"/>
      <c r="F381" s="5" t="n"/>
      <c r="G381" s="5" t="n"/>
    </row>
    <row r="382" ht="15.75" customHeight="1" s="17">
      <c r="A382" s="5" t="n"/>
      <c r="B382" s="5" t="n"/>
      <c r="C382" s="5" t="n"/>
      <c r="D382" s="5" t="n"/>
      <c r="E382" s="5" t="n"/>
      <c r="F382" s="5" t="n"/>
      <c r="G382" s="5" t="n"/>
    </row>
    <row r="383" ht="15.75" customHeight="1" s="17">
      <c r="A383" s="5" t="n"/>
      <c r="B383" s="5" t="n"/>
      <c r="C383" s="5" t="n"/>
      <c r="D383" s="5" t="n"/>
      <c r="E383" s="5" t="n"/>
      <c r="F383" s="5" t="n"/>
      <c r="G383" s="5" t="n"/>
    </row>
    <row r="384" ht="15.75" customHeight="1" s="17">
      <c r="A384" s="5" t="n"/>
      <c r="B384" s="5" t="n"/>
      <c r="C384" s="5" t="n"/>
      <c r="D384" s="5" t="n"/>
      <c r="E384" s="5" t="n"/>
      <c r="F384" s="5" t="n"/>
      <c r="G384" s="5" t="n"/>
    </row>
    <row r="385" ht="15.75" customHeight="1" s="17">
      <c r="A385" s="5" t="n"/>
      <c r="B385" s="5" t="n"/>
      <c r="C385" s="5" t="n"/>
      <c r="D385" s="5" t="n"/>
      <c r="E385" s="5" t="n"/>
      <c r="F385" s="5" t="n"/>
      <c r="G385" s="5" t="n"/>
    </row>
    <row r="386" ht="15.75" customHeight="1" s="17">
      <c r="A386" s="5" t="n"/>
      <c r="B386" s="5" t="n"/>
      <c r="C386" s="5" t="n"/>
      <c r="D386" s="5" t="n"/>
      <c r="E386" s="5" t="n"/>
      <c r="F386" s="5" t="n"/>
      <c r="G386" s="5" t="n"/>
    </row>
    <row r="387" ht="15.75" customHeight="1" s="17">
      <c r="A387" s="5" t="n"/>
      <c r="B387" s="5" t="n"/>
      <c r="C387" s="5" t="n"/>
      <c r="D387" s="5" t="n"/>
      <c r="E387" s="5" t="n"/>
      <c r="F387" s="5" t="n"/>
      <c r="G387" s="5" t="n"/>
    </row>
    <row r="388" ht="15.75" customHeight="1" s="17">
      <c r="A388" s="5" t="n"/>
      <c r="B388" s="5" t="n"/>
      <c r="C388" s="5" t="n"/>
      <c r="D388" s="5" t="n"/>
      <c r="E388" s="5" t="n"/>
      <c r="F388" s="5" t="n"/>
      <c r="G388" s="5" t="n"/>
    </row>
    <row r="389" ht="15.75" customHeight="1" s="17">
      <c r="A389" s="5" t="n"/>
      <c r="B389" s="5" t="n"/>
      <c r="C389" s="5" t="n"/>
      <c r="D389" s="5" t="n"/>
      <c r="E389" s="5" t="n"/>
      <c r="F389" s="5" t="n"/>
      <c r="G389" s="5" t="n"/>
    </row>
    <row r="390" ht="15.75" customHeight="1" s="17">
      <c r="A390" s="5" t="n"/>
      <c r="B390" s="5" t="n"/>
      <c r="C390" s="5" t="n"/>
      <c r="D390" s="5" t="n"/>
      <c r="E390" s="5" t="n"/>
      <c r="F390" s="5" t="n"/>
      <c r="G390" s="5" t="n"/>
    </row>
    <row r="391" ht="15.75" customHeight="1" s="17">
      <c r="A391" s="5" t="n"/>
      <c r="B391" s="5" t="n"/>
      <c r="C391" s="5" t="n"/>
      <c r="D391" s="5" t="n"/>
      <c r="E391" s="5" t="n"/>
      <c r="F391" s="5" t="n"/>
      <c r="G391" s="5" t="n"/>
    </row>
    <row r="392" ht="15.75" customHeight="1" s="17">
      <c r="A392" s="5" t="n"/>
      <c r="B392" s="5" t="n"/>
      <c r="C392" s="5" t="n"/>
      <c r="D392" s="5" t="n"/>
      <c r="E392" s="5" t="n"/>
      <c r="F392" s="5" t="n"/>
      <c r="G392" s="5" t="n"/>
    </row>
    <row r="393" ht="15.75" customHeight="1" s="17">
      <c r="A393" s="5" t="n"/>
      <c r="B393" s="5" t="n"/>
      <c r="C393" s="5" t="n"/>
      <c r="D393" s="5" t="n"/>
      <c r="E393" s="5" t="n"/>
      <c r="F393" s="5" t="n"/>
      <c r="G393" s="5" t="n"/>
    </row>
    <row r="394" ht="15.75" customHeight="1" s="17">
      <c r="A394" s="5" t="n"/>
      <c r="B394" s="5" t="n"/>
      <c r="C394" s="5" t="n"/>
      <c r="D394" s="5" t="n"/>
      <c r="E394" s="5" t="n"/>
      <c r="F394" s="5" t="n"/>
      <c r="G394" s="5" t="n"/>
    </row>
    <row r="395" ht="15.75" customHeight="1" s="17">
      <c r="A395" s="5" t="n"/>
      <c r="B395" s="5" t="n"/>
      <c r="C395" s="5" t="n"/>
      <c r="D395" s="5" t="n"/>
      <c r="E395" s="5" t="n"/>
      <c r="F395" s="5" t="n"/>
      <c r="G395" s="5" t="n"/>
    </row>
    <row r="396" ht="15.75" customHeight="1" s="17">
      <c r="A396" s="5" t="n"/>
      <c r="B396" s="5" t="n"/>
      <c r="C396" s="5" t="n"/>
      <c r="D396" s="5" t="n"/>
      <c r="E396" s="5" t="n"/>
      <c r="F396" s="5" t="n"/>
      <c r="G396" s="5" t="n"/>
    </row>
    <row r="397" ht="15.75" customHeight="1" s="17">
      <c r="A397" s="5" t="n"/>
      <c r="B397" s="5" t="n"/>
      <c r="C397" s="5" t="n"/>
      <c r="D397" s="5" t="n"/>
      <c r="E397" s="5" t="n"/>
      <c r="F397" s="5" t="n"/>
      <c r="G397" s="5" t="n"/>
    </row>
    <row r="398" ht="15.75" customHeight="1" s="17">
      <c r="A398" s="5" t="n"/>
      <c r="B398" s="5" t="n"/>
      <c r="C398" s="5" t="n"/>
      <c r="D398" s="5" t="n"/>
      <c r="E398" s="5" t="n"/>
      <c r="F398" s="5" t="n"/>
      <c r="G398" s="5" t="n"/>
    </row>
    <row r="399" ht="15.75" customHeight="1" s="17">
      <c r="A399" s="5" t="n"/>
      <c r="B399" s="5" t="n"/>
      <c r="C399" s="5" t="n"/>
      <c r="D399" s="5" t="n"/>
      <c r="E399" s="5" t="n"/>
      <c r="F399" s="5" t="n"/>
      <c r="G399" s="5" t="n"/>
    </row>
    <row r="400" ht="15.75" customHeight="1" s="17">
      <c r="A400" s="5" t="n"/>
      <c r="B400" s="5" t="n"/>
      <c r="C400" s="5" t="n"/>
      <c r="D400" s="5" t="n"/>
      <c r="E400" s="5" t="n"/>
      <c r="F400" s="5" t="n"/>
      <c r="G400" s="5" t="n"/>
    </row>
    <row r="401" ht="15.75" customHeight="1" s="17">
      <c r="A401" s="5" t="n"/>
      <c r="B401" s="5" t="n"/>
      <c r="C401" s="5" t="n"/>
      <c r="D401" s="5" t="n"/>
      <c r="E401" s="5" t="n"/>
      <c r="F401" s="5" t="n"/>
      <c r="G401" s="5" t="n"/>
    </row>
    <row r="402" ht="15.75" customHeight="1" s="17">
      <c r="A402" s="5" t="n"/>
      <c r="B402" s="5" t="n"/>
      <c r="C402" s="5" t="n"/>
      <c r="D402" s="5" t="n"/>
      <c r="E402" s="5" t="n"/>
      <c r="F402" s="5" t="n"/>
      <c r="G402" s="5" t="n"/>
    </row>
    <row r="403" ht="15.75" customHeight="1" s="17">
      <c r="A403" s="5" t="n"/>
      <c r="B403" s="5" t="n"/>
      <c r="C403" s="5" t="n"/>
      <c r="D403" s="5" t="n"/>
      <c r="E403" s="5" t="n"/>
      <c r="F403" s="5" t="n"/>
      <c r="G403" s="5" t="n"/>
    </row>
    <row r="404" ht="15.75" customHeight="1" s="17">
      <c r="A404" s="5" t="n"/>
      <c r="B404" s="5" t="n"/>
      <c r="C404" s="5" t="n"/>
      <c r="D404" s="5" t="n"/>
      <c r="E404" s="5" t="n"/>
      <c r="F404" s="5" t="n"/>
      <c r="G404" s="5" t="n"/>
    </row>
    <row r="405" ht="15.75" customHeight="1" s="17">
      <c r="A405" s="5" t="n"/>
      <c r="B405" s="5" t="n"/>
      <c r="C405" s="5" t="n"/>
      <c r="D405" s="5" t="n"/>
      <c r="E405" s="5" t="n"/>
      <c r="F405" s="5" t="n"/>
      <c r="G405" s="5" t="n"/>
    </row>
    <row r="406" ht="15.75" customHeight="1" s="17">
      <c r="A406" s="5" t="n"/>
      <c r="B406" s="5" t="n"/>
      <c r="C406" s="5" t="n"/>
      <c r="D406" s="5" t="n"/>
      <c r="E406" s="5" t="n"/>
      <c r="F406" s="5" t="n"/>
      <c r="G406" s="5" t="n"/>
    </row>
    <row r="407" ht="15.75" customHeight="1" s="17">
      <c r="A407" s="5" t="n"/>
      <c r="B407" s="5" t="n"/>
      <c r="C407" s="5" t="n"/>
      <c r="D407" s="5" t="n"/>
      <c r="E407" s="5" t="n"/>
      <c r="F407" s="5" t="n"/>
      <c r="G407" s="5" t="n"/>
    </row>
    <row r="408" ht="15.75" customHeight="1" s="17">
      <c r="A408" s="5" t="n"/>
      <c r="B408" s="5" t="n"/>
      <c r="C408" s="5" t="n"/>
      <c r="D408" s="5" t="n"/>
      <c r="E408" s="5" t="n"/>
      <c r="F408" s="5" t="n"/>
      <c r="G408" s="5" t="n"/>
    </row>
    <row r="409" ht="15.75" customHeight="1" s="17">
      <c r="A409" s="5" t="n"/>
      <c r="B409" s="5" t="n"/>
      <c r="C409" s="5" t="n"/>
      <c r="D409" s="5" t="n"/>
      <c r="E409" s="5" t="n"/>
      <c r="F409" s="5" t="n"/>
      <c r="G409" s="5" t="n"/>
    </row>
    <row r="410" ht="15.75" customHeight="1" s="17">
      <c r="A410" s="5" t="n"/>
      <c r="B410" s="5" t="n"/>
      <c r="C410" s="5" t="n"/>
      <c r="D410" s="5" t="n"/>
      <c r="E410" s="5" t="n"/>
      <c r="F410" s="5" t="n"/>
      <c r="G410" s="5" t="n"/>
    </row>
    <row r="411" ht="15.75" customHeight="1" s="17">
      <c r="A411" s="5" t="n"/>
      <c r="B411" s="5" t="n"/>
      <c r="C411" s="5" t="n"/>
      <c r="D411" s="5" t="n"/>
      <c r="E411" s="5" t="n"/>
      <c r="F411" s="5" t="n"/>
      <c r="G411" s="5" t="n"/>
    </row>
    <row r="412" ht="15.75" customHeight="1" s="17">
      <c r="A412" s="5" t="n"/>
      <c r="B412" s="5" t="n"/>
      <c r="C412" s="5" t="n"/>
      <c r="D412" s="5" t="n"/>
      <c r="E412" s="5" t="n"/>
      <c r="F412" s="5" t="n"/>
      <c r="G412" s="5" t="n"/>
    </row>
    <row r="413" ht="15.75" customHeight="1" s="17">
      <c r="A413" s="5" t="n"/>
      <c r="B413" s="5" t="n"/>
      <c r="C413" s="5" t="n"/>
      <c r="D413" s="5" t="n"/>
      <c r="E413" s="5" t="n"/>
      <c r="F413" s="5" t="n"/>
      <c r="G413" s="5" t="n"/>
    </row>
    <row r="414" ht="15.75" customHeight="1" s="17">
      <c r="A414" s="5" t="n"/>
      <c r="B414" s="5" t="n"/>
      <c r="C414" s="5" t="n"/>
      <c r="D414" s="5" t="n"/>
      <c r="E414" s="5" t="n"/>
      <c r="F414" s="5" t="n"/>
      <c r="G414" s="5" t="n"/>
    </row>
    <row r="415" ht="15.75" customHeight="1" s="17">
      <c r="A415" s="5" t="n"/>
      <c r="B415" s="5" t="n"/>
      <c r="C415" s="5" t="n"/>
      <c r="D415" s="5" t="n"/>
      <c r="E415" s="5" t="n"/>
      <c r="F415" s="5" t="n"/>
      <c r="G415" s="5" t="n"/>
    </row>
    <row r="416" ht="15.75" customHeight="1" s="17">
      <c r="A416" s="5" t="n"/>
      <c r="B416" s="5" t="n"/>
      <c r="C416" s="5" t="n"/>
      <c r="D416" s="5" t="n"/>
      <c r="E416" s="5" t="n"/>
      <c r="F416" s="5" t="n"/>
      <c r="G416" s="5" t="n"/>
    </row>
    <row r="417" ht="15.75" customHeight="1" s="17">
      <c r="A417" s="5" t="n"/>
      <c r="B417" s="5" t="n"/>
      <c r="C417" s="5" t="n"/>
      <c r="D417" s="5" t="n"/>
      <c r="E417" s="5" t="n"/>
      <c r="F417" s="5" t="n"/>
      <c r="G417" s="5" t="n"/>
    </row>
    <row r="418" ht="15.75" customHeight="1" s="17">
      <c r="A418" s="5" t="n"/>
      <c r="B418" s="5" t="n"/>
      <c r="C418" s="5" t="n"/>
      <c r="D418" s="5" t="n"/>
      <c r="E418" s="5" t="n"/>
      <c r="F418" s="5" t="n"/>
      <c r="G418" s="5" t="n"/>
    </row>
    <row r="419" ht="15.75" customHeight="1" s="17">
      <c r="A419" s="5" t="n"/>
      <c r="B419" s="5" t="n"/>
      <c r="C419" s="5" t="n"/>
      <c r="D419" s="5" t="n"/>
      <c r="E419" s="5" t="n"/>
      <c r="F419" s="5" t="n"/>
      <c r="G419" s="5" t="n"/>
    </row>
    <row r="420" ht="15.75" customHeight="1" s="17">
      <c r="A420" s="5" t="n"/>
      <c r="B420" s="5" t="n"/>
      <c r="C420" s="5" t="n"/>
      <c r="D420" s="5" t="n"/>
      <c r="E420" s="5" t="n"/>
      <c r="F420" s="5" t="n"/>
      <c r="G420" s="5" t="n"/>
    </row>
    <row r="421" ht="15.75" customHeight="1" s="17">
      <c r="A421" s="5" t="n"/>
      <c r="B421" s="5" t="n"/>
      <c r="C421" s="5" t="n"/>
      <c r="D421" s="5" t="n"/>
      <c r="E421" s="5" t="n"/>
      <c r="F421" s="5" t="n"/>
      <c r="G421" s="5" t="n"/>
    </row>
    <row r="422" ht="15.75" customHeight="1" s="17">
      <c r="A422" s="5" t="n"/>
      <c r="B422" s="5" t="n"/>
      <c r="C422" s="5" t="n"/>
      <c r="D422" s="5" t="n"/>
      <c r="E422" s="5" t="n"/>
      <c r="F422" s="5" t="n"/>
      <c r="G422" s="5" t="n"/>
    </row>
    <row r="423" ht="15.75" customHeight="1" s="17">
      <c r="A423" s="5" t="n"/>
      <c r="B423" s="5" t="n"/>
      <c r="C423" s="5" t="n"/>
      <c r="D423" s="5" t="n"/>
      <c r="E423" s="5" t="n"/>
      <c r="F423" s="5" t="n"/>
      <c r="G423" s="5" t="n"/>
    </row>
    <row r="424" ht="15.75" customHeight="1" s="17">
      <c r="A424" s="5" t="n"/>
      <c r="B424" s="5" t="n"/>
      <c r="C424" s="5" t="n"/>
      <c r="D424" s="5" t="n"/>
      <c r="E424" s="5" t="n"/>
      <c r="F424" s="5" t="n"/>
      <c r="G424" s="5" t="n"/>
    </row>
    <row r="425" ht="15.75" customHeight="1" s="17">
      <c r="A425" s="5" t="n"/>
      <c r="B425" s="5" t="n"/>
      <c r="C425" s="5" t="n"/>
      <c r="D425" s="5" t="n"/>
      <c r="E425" s="5" t="n"/>
      <c r="F425" s="5" t="n"/>
      <c r="G425" s="5" t="n"/>
    </row>
    <row r="426" ht="15.75" customHeight="1" s="17">
      <c r="A426" s="5" t="n"/>
      <c r="B426" s="5" t="n"/>
      <c r="C426" s="5" t="n"/>
      <c r="D426" s="5" t="n"/>
      <c r="E426" s="5" t="n"/>
      <c r="F426" s="5" t="n"/>
      <c r="G426" s="5" t="n"/>
    </row>
    <row r="427" ht="15.75" customHeight="1" s="17">
      <c r="A427" s="5" t="n"/>
      <c r="B427" s="5" t="n"/>
      <c r="C427" s="5" t="n"/>
      <c r="D427" s="5" t="n"/>
      <c r="E427" s="5" t="n"/>
      <c r="F427" s="5" t="n"/>
      <c r="G427" s="5" t="n"/>
    </row>
    <row r="428" ht="15.75" customHeight="1" s="17">
      <c r="A428" s="5" t="n"/>
      <c r="B428" s="5" t="n"/>
      <c r="C428" s="5" t="n"/>
      <c r="D428" s="5" t="n"/>
      <c r="E428" s="5" t="n"/>
      <c r="F428" s="5" t="n"/>
      <c r="G428" s="5" t="n"/>
    </row>
    <row r="429" ht="15.75" customHeight="1" s="17">
      <c r="A429" s="5" t="n"/>
      <c r="B429" s="5" t="n"/>
      <c r="C429" s="5" t="n"/>
      <c r="D429" s="5" t="n"/>
      <c r="E429" s="5" t="n"/>
      <c r="F429" s="5" t="n"/>
      <c r="G429" s="5" t="n"/>
    </row>
    <row r="430" ht="15.75" customHeight="1" s="17">
      <c r="A430" s="5" t="n"/>
      <c r="B430" s="5" t="n"/>
      <c r="C430" s="5" t="n"/>
      <c r="D430" s="5" t="n"/>
      <c r="E430" s="5" t="n"/>
      <c r="F430" s="5" t="n"/>
      <c r="G430" s="5" t="n"/>
    </row>
    <row r="431" ht="15.75" customHeight="1" s="17">
      <c r="A431" s="5" t="n"/>
      <c r="B431" s="5" t="n"/>
      <c r="C431" s="5" t="n"/>
      <c r="D431" s="5" t="n"/>
      <c r="E431" s="5" t="n"/>
      <c r="F431" s="5" t="n"/>
      <c r="G431" s="5" t="n"/>
    </row>
    <row r="432" ht="15.75" customHeight="1" s="17">
      <c r="A432" s="5" t="n"/>
      <c r="B432" s="5" t="n"/>
      <c r="C432" s="5" t="n"/>
      <c r="D432" s="5" t="n"/>
      <c r="E432" s="5" t="n"/>
      <c r="F432" s="5" t="n"/>
      <c r="G432" s="5" t="n"/>
    </row>
    <row r="433" ht="15.75" customHeight="1" s="17">
      <c r="A433" s="5" t="n"/>
      <c r="B433" s="5" t="n"/>
      <c r="C433" s="5" t="n"/>
      <c r="D433" s="5" t="n"/>
      <c r="E433" s="5" t="n"/>
      <c r="F433" s="5" t="n"/>
      <c r="G433" s="5" t="n"/>
    </row>
    <row r="434" ht="15.75" customHeight="1" s="17">
      <c r="A434" s="5" t="n"/>
      <c r="B434" s="5" t="n"/>
      <c r="C434" s="5" t="n"/>
      <c r="D434" s="5" t="n"/>
      <c r="E434" s="5" t="n"/>
      <c r="F434" s="5" t="n"/>
      <c r="G434" s="5" t="n"/>
    </row>
    <row r="435" ht="15.75" customHeight="1" s="17">
      <c r="A435" s="5" t="n"/>
      <c r="B435" s="5" t="n"/>
      <c r="C435" s="5" t="n"/>
      <c r="D435" s="5" t="n"/>
      <c r="E435" s="5" t="n"/>
      <c r="F435" s="5" t="n"/>
      <c r="G435" s="5" t="n"/>
    </row>
    <row r="436" ht="15.75" customHeight="1" s="17">
      <c r="A436" s="5" t="n"/>
      <c r="B436" s="5" t="n"/>
      <c r="C436" s="5" t="n"/>
      <c r="D436" s="5" t="n"/>
      <c r="E436" s="5" t="n"/>
      <c r="F436" s="5" t="n"/>
      <c r="G436" s="5" t="n"/>
    </row>
    <row r="437" ht="15.75" customHeight="1" s="17">
      <c r="A437" s="5" t="n"/>
      <c r="B437" s="5" t="n"/>
      <c r="C437" s="5" t="n"/>
      <c r="D437" s="5" t="n"/>
      <c r="E437" s="5" t="n"/>
      <c r="F437" s="5" t="n"/>
      <c r="G437" s="5" t="n"/>
    </row>
    <row r="438" ht="15.75" customHeight="1" s="17">
      <c r="A438" s="5" t="n"/>
      <c r="B438" s="5" t="n"/>
      <c r="C438" s="5" t="n"/>
      <c r="D438" s="5" t="n"/>
      <c r="E438" s="5" t="n"/>
      <c r="F438" s="5" t="n"/>
      <c r="G438" s="5" t="n"/>
    </row>
    <row r="439" ht="15.75" customHeight="1" s="17">
      <c r="A439" s="5" t="n"/>
      <c r="B439" s="5" t="n"/>
      <c r="C439" s="5" t="n"/>
      <c r="D439" s="5" t="n"/>
      <c r="E439" s="5" t="n"/>
      <c r="F439" s="5" t="n"/>
      <c r="G439" s="5" t="n"/>
    </row>
    <row r="440" ht="15.75" customHeight="1" s="17">
      <c r="A440" s="5" t="n"/>
      <c r="B440" s="5" t="n"/>
      <c r="C440" s="5" t="n"/>
      <c r="D440" s="5" t="n"/>
      <c r="E440" s="5" t="n"/>
      <c r="F440" s="5" t="n"/>
      <c r="G440" s="5" t="n"/>
    </row>
    <row r="441" ht="15.75" customHeight="1" s="17">
      <c r="A441" s="5" t="n"/>
      <c r="B441" s="5" t="n"/>
      <c r="C441" s="5" t="n"/>
      <c r="D441" s="5" t="n"/>
      <c r="E441" s="5" t="n"/>
      <c r="F441" s="5" t="n"/>
      <c r="G441" s="5" t="n"/>
    </row>
    <row r="442" ht="15.75" customHeight="1" s="17">
      <c r="A442" s="5" t="n"/>
      <c r="B442" s="5" t="n"/>
      <c r="C442" s="5" t="n"/>
      <c r="D442" s="5" t="n"/>
      <c r="E442" s="5" t="n"/>
      <c r="F442" s="5" t="n"/>
      <c r="G442" s="5" t="n"/>
    </row>
    <row r="443" ht="15.75" customHeight="1" s="17">
      <c r="A443" s="5" t="n"/>
      <c r="B443" s="5" t="n"/>
      <c r="C443" s="5" t="n"/>
      <c r="D443" s="5" t="n"/>
      <c r="E443" s="5" t="n"/>
      <c r="F443" s="5" t="n"/>
      <c r="G443" s="5" t="n"/>
    </row>
    <row r="444" ht="15.75" customHeight="1" s="17">
      <c r="A444" s="5" t="n"/>
      <c r="B444" s="5" t="n"/>
      <c r="C444" s="5" t="n"/>
      <c r="D444" s="5" t="n"/>
      <c r="E444" s="5" t="n"/>
      <c r="F444" s="5" t="n"/>
      <c r="G444" s="5" t="n"/>
    </row>
    <row r="445" ht="15.75" customHeight="1" s="17">
      <c r="A445" s="5" t="n"/>
      <c r="B445" s="5" t="n"/>
      <c r="C445" s="5" t="n"/>
      <c r="D445" s="5" t="n"/>
      <c r="E445" s="5" t="n"/>
      <c r="F445" s="5" t="n"/>
      <c r="G445" s="5" t="n"/>
    </row>
    <row r="446" ht="15.75" customHeight="1" s="17">
      <c r="A446" s="5" t="n"/>
      <c r="B446" s="5" t="n"/>
      <c r="C446" s="5" t="n"/>
      <c r="D446" s="5" t="n"/>
      <c r="E446" s="5" t="n"/>
      <c r="F446" s="5" t="n"/>
      <c r="G446" s="5" t="n"/>
    </row>
    <row r="447" ht="15.75" customHeight="1" s="17">
      <c r="A447" s="5" t="n"/>
      <c r="B447" s="5" t="n"/>
      <c r="C447" s="5" t="n"/>
      <c r="D447" s="5" t="n"/>
      <c r="E447" s="5" t="n"/>
      <c r="F447" s="5" t="n"/>
      <c r="G447" s="5" t="n"/>
    </row>
    <row r="448" ht="15.75" customHeight="1" s="17">
      <c r="A448" s="5" t="n"/>
      <c r="B448" s="5" t="n"/>
      <c r="C448" s="5" t="n"/>
      <c r="D448" s="5" t="n"/>
      <c r="E448" s="5" t="n"/>
      <c r="F448" s="5" t="n"/>
      <c r="G448" s="5" t="n"/>
    </row>
    <row r="449" ht="15.75" customHeight="1" s="17">
      <c r="A449" s="5" t="n"/>
      <c r="B449" s="5" t="n"/>
      <c r="C449" s="5" t="n"/>
      <c r="D449" s="5" t="n"/>
      <c r="E449" s="5" t="n"/>
      <c r="F449" s="5" t="n"/>
      <c r="G449" s="5" t="n"/>
    </row>
    <row r="450" ht="15.75" customHeight="1" s="17">
      <c r="A450" s="5" t="n"/>
      <c r="B450" s="5" t="n"/>
      <c r="C450" s="5" t="n"/>
      <c r="D450" s="5" t="n"/>
      <c r="E450" s="5" t="n"/>
      <c r="F450" s="5" t="n"/>
      <c r="G450" s="5" t="n"/>
    </row>
    <row r="451" ht="15.75" customHeight="1" s="17">
      <c r="A451" s="5" t="n"/>
      <c r="B451" s="5" t="n"/>
      <c r="C451" s="5" t="n"/>
      <c r="D451" s="5" t="n"/>
      <c r="E451" s="5" t="n"/>
      <c r="F451" s="5" t="n"/>
      <c r="G451" s="5" t="n"/>
    </row>
    <row r="452" ht="15.75" customHeight="1" s="17">
      <c r="A452" s="5" t="n"/>
      <c r="B452" s="5" t="n"/>
      <c r="C452" s="5" t="n"/>
      <c r="D452" s="5" t="n"/>
      <c r="E452" s="5" t="n"/>
      <c r="F452" s="5" t="n"/>
      <c r="G452" s="5" t="n"/>
    </row>
    <row r="453" ht="15.75" customHeight="1" s="17">
      <c r="A453" s="5" t="n"/>
      <c r="B453" s="5" t="n"/>
      <c r="C453" s="5" t="n"/>
      <c r="D453" s="5" t="n"/>
      <c r="E453" s="5" t="n"/>
      <c r="F453" s="5" t="n"/>
      <c r="G453" s="5" t="n"/>
    </row>
    <row r="454" ht="15.75" customHeight="1" s="17">
      <c r="A454" s="5" t="n"/>
      <c r="B454" s="5" t="n"/>
      <c r="C454" s="5" t="n"/>
      <c r="D454" s="5" t="n"/>
      <c r="E454" s="5" t="n"/>
      <c r="F454" s="5" t="n"/>
      <c r="G454" s="5" t="n"/>
    </row>
    <row r="455" ht="15.75" customHeight="1" s="17">
      <c r="A455" s="5" t="n"/>
      <c r="B455" s="5" t="n"/>
      <c r="C455" s="5" t="n"/>
      <c r="D455" s="5" t="n"/>
      <c r="E455" s="5" t="n"/>
      <c r="F455" s="5" t="n"/>
      <c r="G455" s="5" t="n"/>
    </row>
    <row r="456" ht="15.75" customHeight="1" s="17">
      <c r="A456" s="5" t="n"/>
      <c r="B456" s="5" t="n"/>
      <c r="C456" s="5" t="n"/>
      <c r="D456" s="5" t="n"/>
      <c r="E456" s="5" t="n"/>
      <c r="F456" s="5" t="n"/>
      <c r="G456" s="5" t="n"/>
    </row>
    <row r="457" ht="15.75" customHeight="1" s="17">
      <c r="A457" s="5" t="n"/>
      <c r="B457" s="5" t="n"/>
      <c r="C457" s="5" t="n"/>
      <c r="D457" s="5" t="n"/>
      <c r="E457" s="5" t="n"/>
      <c r="F457" s="5" t="n"/>
      <c r="G457" s="5" t="n"/>
    </row>
    <row r="458" ht="15.75" customHeight="1" s="17">
      <c r="A458" s="5" t="n"/>
      <c r="B458" s="5" t="n"/>
      <c r="C458" s="5" t="n"/>
      <c r="D458" s="5" t="n"/>
      <c r="E458" s="5" t="n"/>
      <c r="F458" s="5" t="n"/>
      <c r="G458" s="5" t="n"/>
    </row>
    <row r="459" ht="15.75" customHeight="1" s="17">
      <c r="A459" s="5" t="n"/>
      <c r="B459" s="5" t="n"/>
      <c r="C459" s="5" t="n"/>
      <c r="D459" s="5" t="n"/>
      <c r="E459" s="5" t="n"/>
      <c r="F459" s="5" t="n"/>
      <c r="G459" s="5" t="n"/>
    </row>
    <row r="460" ht="15.75" customHeight="1" s="17">
      <c r="A460" s="5" t="n"/>
      <c r="B460" s="5" t="n"/>
      <c r="C460" s="5" t="n"/>
      <c r="D460" s="5" t="n"/>
      <c r="E460" s="5" t="n"/>
      <c r="F460" s="5" t="n"/>
      <c r="G460" s="5" t="n"/>
    </row>
    <row r="461" ht="15.75" customHeight="1" s="17">
      <c r="A461" s="5" t="n"/>
      <c r="B461" s="5" t="n"/>
      <c r="C461" s="5" t="n"/>
      <c r="D461" s="5" t="n"/>
      <c r="E461" s="5" t="n"/>
      <c r="F461" s="5" t="n"/>
      <c r="G461" s="5" t="n"/>
    </row>
    <row r="462" ht="15.75" customHeight="1" s="17">
      <c r="A462" s="5" t="n"/>
      <c r="B462" s="5" t="n"/>
      <c r="C462" s="5" t="n"/>
      <c r="D462" s="5" t="n"/>
      <c r="E462" s="5" t="n"/>
      <c r="F462" s="5" t="n"/>
      <c r="G462" s="5" t="n"/>
    </row>
    <row r="463" ht="15.75" customHeight="1" s="17">
      <c r="A463" s="5" t="n"/>
      <c r="B463" s="5" t="n"/>
      <c r="C463" s="5" t="n"/>
      <c r="D463" s="5" t="n"/>
      <c r="E463" s="5" t="n"/>
      <c r="F463" s="5" t="n"/>
      <c r="G463" s="5" t="n"/>
    </row>
    <row r="464" ht="15.75" customHeight="1" s="17">
      <c r="A464" s="5" t="n"/>
      <c r="B464" s="5" t="n"/>
      <c r="C464" s="5" t="n"/>
      <c r="D464" s="5" t="n"/>
      <c r="E464" s="5" t="n"/>
      <c r="F464" s="5" t="n"/>
      <c r="G464" s="5" t="n"/>
    </row>
    <row r="465" ht="15.75" customHeight="1" s="17">
      <c r="A465" s="5" t="n"/>
      <c r="B465" s="5" t="n"/>
      <c r="C465" s="5" t="n"/>
      <c r="D465" s="5" t="n"/>
      <c r="E465" s="5" t="n"/>
      <c r="F465" s="5" t="n"/>
      <c r="G465" s="5" t="n"/>
    </row>
    <row r="466" ht="15.75" customHeight="1" s="17">
      <c r="A466" s="5" t="n"/>
      <c r="B466" s="5" t="n"/>
      <c r="C466" s="5" t="n"/>
      <c r="D466" s="5" t="n"/>
      <c r="E466" s="5" t="n"/>
      <c r="F466" s="5" t="n"/>
      <c r="G466" s="5" t="n"/>
    </row>
    <row r="467" ht="15.75" customHeight="1" s="17">
      <c r="A467" s="5" t="n"/>
      <c r="B467" s="5" t="n"/>
      <c r="C467" s="5" t="n"/>
      <c r="D467" s="5" t="n"/>
      <c r="E467" s="5" t="n"/>
      <c r="F467" s="5" t="n"/>
      <c r="G467" s="5" t="n"/>
    </row>
    <row r="468" ht="15.75" customHeight="1" s="17">
      <c r="A468" s="5" t="n"/>
      <c r="B468" s="5" t="n"/>
      <c r="C468" s="5" t="n"/>
      <c r="D468" s="5" t="n"/>
      <c r="E468" s="5" t="n"/>
      <c r="F468" s="5" t="n"/>
      <c r="G468" s="5" t="n"/>
    </row>
    <row r="469" ht="15.75" customHeight="1" s="17">
      <c r="A469" s="5" t="n"/>
      <c r="B469" s="5" t="n"/>
      <c r="C469" s="5" t="n"/>
      <c r="D469" s="5" t="n"/>
      <c r="E469" s="5" t="n"/>
      <c r="F469" s="5" t="n"/>
      <c r="G469" s="5" t="n"/>
    </row>
    <row r="470" ht="15.75" customHeight="1" s="17">
      <c r="A470" s="5" t="n"/>
      <c r="B470" s="5" t="n"/>
      <c r="C470" s="5" t="n"/>
      <c r="D470" s="5" t="n"/>
      <c r="E470" s="5" t="n"/>
      <c r="F470" s="5" t="n"/>
      <c r="G470" s="5" t="n"/>
    </row>
    <row r="471" ht="15.75" customHeight="1" s="17">
      <c r="A471" s="5" t="n"/>
      <c r="B471" s="5" t="n"/>
      <c r="C471" s="5" t="n"/>
      <c r="D471" s="5" t="n"/>
      <c r="E471" s="5" t="n"/>
      <c r="F471" s="5" t="n"/>
      <c r="G471" s="5" t="n"/>
    </row>
    <row r="472" ht="15.75" customHeight="1" s="17">
      <c r="A472" s="5" t="n"/>
      <c r="B472" s="5" t="n"/>
      <c r="C472" s="5" t="n"/>
      <c r="D472" s="5" t="n"/>
      <c r="E472" s="5" t="n"/>
      <c r="F472" s="5" t="n"/>
      <c r="G472" s="5" t="n"/>
    </row>
    <row r="473" ht="15.75" customHeight="1" s="17">
      <c r="A473" s="5" t="n"/>
      <c r="B473" s="5" t="n"/>
      <c r="C473" s="5" t="n"/>
      <c r="D473" s="5" t="n"/>
      <c r="E473" s="5" t="n"/>
      <c r="F473" s="5" t="n"/>
      <c r="G473" s="5" t="n"/>
    </row>
    <row r="474" ht="15.75" customHeight="1" s="17">
      <c r="A474" s="5" t="n"/>
      <c r="B474" s="5" t="n"/>
      <c r="C474" s="5" t="n"/>
      <c r="D474" s="5" t="n"/>
      <c r="E474" s="5" t="n"/>
      <c r="F474" s="5" t="n"/>
      <c r="G474" s="5" t="n"/>
    </row>
    <row r="475" ht="15.75" customHeight="1" s="17">
      <c r="A475" s="5" t="n"/>
      <c r="B475" s="5" t="n"/>
      <c r="C475" s="5" t="n"/>
      <c r="D475" s="5" t="n"/>
      <c r="E475" s="5" t="n"/>
      <c r="F475" s="5" t="n"/>
      <c r="G475" s="5" t="n"/>
    </row>
    <row r="476" ht="15.75" customHeight="1" s="17">
      <c r="A476" s="5" t="n"/>
      <c r="B476" s="5" t="n"/>
      <c r="C476" s="5" t="n"/>
      <c r="D476" s="5" t="n"/>
      <c r="E476" s="5" t="n"/>
      <c r="F476" s="5" t="n"/>
      <c r="G476" s="5" t="n"/>
    </row>
    <row r="477" ht="15.75" customHeight="1" s="17">
      <c r="A477" s="5" t="n"/>
      <c r="B477" s="5" t="n"/>
      <c r="C477" s="5" t="n"/>
      <c r="D477" s="5" t="n"/>
      <c r="E477" s="5" t="n"/>
      <c r="F477" s="5" t="n"/>
      <c r="G477" s="5" t="n"/>
    </row>
    <row r="478" ht="15.75" customHeight="1" s="17">
      <c r="A478" s="5" t="n"/>
      <c r="B478" s="5" t="n"/>
      <c r="C478" s="5" t="n"/>
      <c r="D478" s="5" t="n"/>
      <c r="E478" s="5" t="n"/>
      <c r="F478" s="5" t="n"/>
      <c r="G478" s="5" t="n"/>
    </row>
    <row r="479" ht="15.75" customHeight="1" s="17">
      <c r="A479" s="5" t="n"/>
      <c r="B479" s="5" t="n"/>
      <c r="C479" s="5" t="n"/>
      <c r="D479" s="5" t="n"/>
      <c r="E479" s="5" t="n"/>
      <c r="F479" s="5" t="n"/>
      <c r="G479" s="5" t="n"/>
    </row>
    <row r="480" ht="15.75" customHeight="1" s="17">
      <c r="A480" s="5" t="n"/>
      <c r="B480" s="5" t="n"/>
      <c r="C480" s="5" t="n"/>
      <c r="D480" s="5" t="n"/>
      <c r="E480" s="5" t="n"/>
      <c r="F480" s="5" t="n"/>
      <c r="G480" s="5" t="n"/>
    </row>
    <row r="481" ht="15.75" customHeight="1" s="17">
      <c r="A481" s="5" t="n"/>
      <c r="B481" s="5" t="n"/>
      <c r="C481" s="5" t="n"/>
      <c r="D481" s="5" t="n"/>
      <c r="E481" s="5" t="n"/>
      <c r="F481" s="5" t="n"/>
      <c r="G481" s="5" t="n"/>
    </row>
    <row r="482" ht="15.75" customHeight="1" s="17">
      <c r="A482" s="5" t="n"/>
      <c r="B482" s="5" t="n"/>
      <c r="C482" s="5" t="n"/>
      <c r="D482" s="5" t="n"/>
      <c r="E482" s="5" t="n"/>
      <c r="F482" s="5" t="n"/>
      <c r="G482" s="5" t="n"/>
    </row>
    <row r="483" ht="15.75" customHeight="1" s="17">
      <c r="A483" s="5" t="n"/>
      <c r="B483" s="5" t="n"/>
      <c r="C483" s="5" t="n"/>
      <c r="D483" s="5" t="n"/>
      <c r="E483" s="5" t="n"/>
      <c r="F483" s="5" t="n"/>
      <c r="G483" s="5" t="n"/>
    </row>
    <row r="484" ht="15.75" customHeight="1" s="17">
      <c r="A484" s="5" t="n"/>
      <c r="B484" s="5" t="n"/>
      <c r="C484" s="5" t="n"/>
      <c r="D484" s="5" t="n"/>
      <c r="E484" s="5" t="n"/>
      <c r="F484" s="5" t="n"/>
      <c r="G484" s="5" t="n"/>
    </row>
    <row r="485" ht="15.75" customHeight="1" s="17">
      <c r="A485" s="5" t="n"/>
      <c r="B485" s="5" t="n"/>
      <c r="C485" s="5" t="n"/>
      <c r="D485" s="5" t="n"/>
      <c r="E485" s="5" t="n"/>
      <c r="F485" s="5" t="n"/>
      <c r="G485" s="5" t="n"/>
    </row>
    <row r="486" ht="15.75" customHeight="1" s="17">
      <c r="A486" s="5" t="n"/>
      <c r="B486" s="5" t="n"/>
      <c r="C486" s="5" t="n"/>
      <c r="D486" s="5" t="n"/>
      <c r="E486" s="5" t="n"/>
      <c r="F486" s="5" t="n"/>
      <c r="G486" s="5" t="n"/>
    </row>
    <row r="487" ht="15.75" customHeight="1" s="17">
      <c r="A487" s="5" t="n"/>
      <c r="B487" s="5" t="n"/>
      <c r="C487" s="5" t="n"/>
      <c r="D487" s="5" t="n"/>
      <c r="E487" s="5" t="n"/>
      <c r="F487" s="5" t="n"/>
      <c r="G487" s="5" t="n"/>
    </row>
    <row r="488" ht="15.75" customHeight="1" s="17">
      <c r="A488" s="5" t="n"/>
      <c r="B488" s="5" t="n"/>
      <c r="C488" s="5" t="n"/>
      <c r="D488" s="5" t="n"/>
      <c r="E488" s="5" t="n"/>
      <c r="F488" s="5" t="n"/>
      <c r="G488" s="5" t="n"/>
    </row>
    <row r="489" ht="15.75" customHeight="1" s="17">
      <c r="A489" s="5" t="n"/>
      <c r="B489" s="5" t="n"/>
      <c r="C489" s="5" t="n"/>
      <c r="D489" s="5" t="n"/>
      <c r="E489" s="5" t="n"/>
      <c r="F489" s="5" t="n"/>
      <c r="G489" s="5" t="n"/>
    </row>
    <row r="490" ht="15.75" customHeight="1" s="17">
      <c r="A490" s="5" t="n"/>
      <c r="B490" s="5" t="n"/>
      <c r="C490" s="5" t="n"/>
      <c r="D490" s="5" t="n"/>
      <c r="E490" s="5" t="n"/>
      <c r="F490" s="5" t="n"/>
      <c r="G490" s="5" t="n"/>
    </row>
    <row r="491" ht="15.75" customHeight="1" s="17">
      <c r="A491" s="5" t="n"/>
      <c r="B491" s="5" t="n"/>
      <c r="C491" s="5" t="n"/>
      <c r="D491" s="5" t="n"/>
      <c r="E491" s="5" t="n"/>
      <c r="F491" s="5" t="n"/>
      <c r="G491" s="5" t="n"/>
    </row>
    <row r="492" ht="15.75" customHeight="1" s="17">
      <c r="A492" s="5" t="n"/>
      <c r="B492" s="5" t="n"/>
      <c r="C492" s="5" t="n"/>
      <c r="D492" s="5" t="n"/>
      <c r="E492" s="5" t="n"/>
      <c r="F492" s="5" t="n"/>
      <c r="G492" s="5" t="n"/>
    </row>
    <row r="493" ht="15.75" customHeight="1" s="17">
      <c r="A493" s="5" t="n"/>
      <c r="B493" s="5" t="n"/>
      <c r="C493" s="5" t="n"/>
      <c r="D493" s="5" t="n"/>
      <c r="E493" s="5" t="n"/>
      <c r="F493" s="5" t="n"/>
      <c r="G493" s="5" t="n"/>
    </row>
    <row r="494" ht="15.75" customHeight="1" s="17">
      <c r="A494" s="5" t="n"/>
      <c r="B494" s="5" t="n"/>
      <c r="C494" s="5" t="n"/>
      <c r="D494" s="5" t="n"/>
      <c r="E494" s="5" t="n"/>
      <c r="F494" s="5" t="n"/>
      <c r="G494" s="5" t="n"/>
    </row>
    <row r="495" ht="15.75" customHeight="1" s="17">
      <c r="A495" s="5" t="n"/>
      <c r="B495" s="5" t="n"/>
      <c r="C495" s="5" t="n"/>
      <c r="D495" s="5" t="n"/>
      <c r="E495" s="5" t="n"/>
      <c r="F495" s="5" t="n"/>
      <c r="G495" s="5" t="n"/>
    </row>
    <row r="496" ht="15.75" customHeight="1" s="17">
      <c r="A496" s="5" t="n"/>
      <c r="B496" s="5" t="n"/>
      <c r="C496" s="5" t="n"/>
      <c r="D496" s="5" t="n"/>
      <c r="E496" s="5" t="n"/>
      <c r="F496" s="5" t="n"/>
      <c r="G496" s="5" t="n"/>
    </row>
    <row r="497" ht="15.75" customHeight="1" s="17">
      <c r="A497" s="5" t="n"/>
      <c r="B497" s="5" t="n"/>
      <c r="C497" s="5" t="n"/>
      <c r="D497" s="5" t="n"/>
      <c r="E497" s="5" t="n"/>
      <c r="F497" s="5" t="n"/>
      <c r="G497" s="5" t="n"/>
    </row>
    <row r="498" ht="15.75" customHeight="1" s="17">
      <c r="A498" s="5" t="n"/>
      <c r="B498" s="5" t="n"/>
      <c r="C498" s="5" t="n"/>
      <c r="D498" s="5" t="n"/>
      <c r="E498" s="5" t="n"/>
      <c r="F498" s="5" t="n"/>
      <c r="G498" s="5" t="n"/>
    </row>
    <row r="499" ht="15.75" customHeight="1" s="17">
      <c r="A499" s="5" t="n"/>
      <c r="B499" s="5" t="n"/>
      <c r="C499" s="5" t="n"/>
      <c r="D499" s="5" t="n"/>
      <c r="E499" s="5" t="n"/>
      <c r="F499" s="5" t="n"/>
      <c r="G499" s="5" t="n"/>
    </row>
    <row r="500" ht="15.75" customHeight="1" s="17">
      <c r="A500" s="5" t="n"/>
      <c r="B500" s="5" t="n"/>
      <c r="C500" s="5" t="n"/>
      <c r="D500" s="5" t="n"/>
      <c r="E500" s="5" t="n"/>
      <c r="F500" s="5" t="n"/>
      <c r="G500" s="5" t="n"/>
    </row>
    <row r="501" ht="15.75" customHeight="1" s="17">
      <c r="A501" s="5" t="n"/>
      <c r="B501" s="5" t="n"/>
      <c r="C501" s="5" t="n"/>
      <c r="D501" s="5" t="n"/>
      <c r="E501" s="5" t="n"/>
      <c r="F501" s="5" t="n"/>
      <c r="G501" s="5" t="n"/>
    </row>
    <row r="502" ht="15.75" customHeight="1" s="17">
      <c r="A502" s="5" t="n"/>
      <c r="B502" s="5" t="n"/>
      <c r="C502" s="5" t="n"/>
      <c r="D502" s="5" t="n"/>
      <c r="E502" s="5" t="n"/>
      <c r="F502" s="5" t="n"/>
      <c r="G502" s="5" t="n"/>
    </row>
    <row r="503" ht="15.75" customHeight="1" s="17">
      <c r="A503" s="5" t="n"/>
      <c r="B503" s="5" t="n"/>
      <c r="C503" s="5" t="n"/>
      <c r="D503" s="5" t="n"/>
      <c r="E503" s="5" t="n"/>
      <c r="F503" s="5" t="n"/>
      <c r="G503" s="5" t="n"/>
    </row>
    <row r="504" ht="15.75" customHeight="1" s="17">
      <c r="A504" s="5" t="n"/>
      <c r="B504" s="5" t="n"/>
      <c r="C504" s="5" t="n"/>
      <c r="D504" s="5" t="n"/>
      <c r="E504" s="5" t="n"/>
      <c r="F504" s="5" t="n"/>
      <c r="G504" s="5" t="n"/>
    </row>
    <row r="505" ht="15.75" customHeight="1" s="17">
      <c r="A505" s="5" t="n"/>
      <c r="B505" s="5" t="n"/>
      <c r="C505" s="5" t="n"/>
      <c r="D505" s="5" t="n"/>
      <c r="E505" s="5" t="n"/>
      <c r="F505" s="5" t="n"/>
      <c r="G505" s="5" t="n"/>
    </row>
    <row r="506" ht="15.75" customHeight="1" s="17">
      <c r="A506" s="5" t="n"/>
      <c r="B506" s="5" t="n"/>
      <c r="C506" s="5" t="n"/>
      <c r="D506" s="5" t="n"/>
      <c r="E506" s="5" t="n"/>
      <c r="F506" s="5" t="n"/>
      <c r="G506" s="5" t="n"/>
    </row>
    <row r="507" ht="15.75" customHeight="1" s="17">
      <c r="A507" s="5" t="n"/>
      <c r="B507" s="5" t="n"/>
      <c r="C507" s="5" t="n"/>
      <c r="D507" s="5" t="n"/>
      <c r="E507" s="5" t="n"/>
      <c r="F507" s="5" t="n"/>
      <c r="G507" s="5" t="n"/>
    </row>
    <row r="508" ht="15.75" customHeight="1" s="17">
      <c r="A508" s="5" t="n"/>
      <c r="B508" s="5" t="n"/>
      <c r="C508" s="5" t="n"/>
      <c r="D508" s="5" t="n"/>
      <c r="E508" s="5" t="n"/>
      <c r="F508" s="5" t="n"/>
      <c r="G508" s="5" t="n"/>
    </row>
    <row r="509" ht="15.75" customHeight="1" s="17">
      <c r="A509" s="5" t="n"/>
      <c r="B509" s="5" t="n"/>
      <c r="C509" s="5" t="n"/>
      <c r="D509" s="5" t="n"/>
      <c r="E509" s="5" t="n"/>
      <c r="F509" s="5" t="n"/>
      <c r="G509" s="5" t="n"/>
    </row>
    <row r="510" ht="15.75" customHeight="1" s="17">
      <c r="A510" s="5" t="n"/>
      <c r="B510" s="5" t="n"/>
      <c r="C510" s="5" t="n"/>
      <c r="D510" s="5" t="n"/>
      <c r="E510" s="5" t="n"/>
      <c r="F510" s="5" t="n"/>
      <c r="G510" s="5" t="n"/>
    </row>
    <row r="511" ht="15.75" customHeight="1" s="17">
      <c r="A511" s="5" t="n"/>
      <c r="B511" s="5" t="n"/>
      <c r="C511" s="5" t="n"/>
      <c r="D511" s="5" t="n"/>
      <c r="E511" s="5" t="n"/>
      <c r="F511" s="5" t="n"/>
      <c r="G511" s="5" t="n"/>
    </row>
    <row r="512" ht="15.75" customHeight="1" s="17">
      <c r="A512" s="5" t="n"/>
      <c r="B512" s="5" t="n"/>
      <c r="C512" s="5" t="n"/>
      <c r="D512" s="5" t="n"/>
      <c r="E512" s="5" t="n"/>
      <c r="F512" s="5" t="n"/>
      <c r="G512" s="5" t="n"/>
    </row>
    <row r="513" ht="15.75" customHeight="1" s="17">
      <c r="A513" s="5" t="n"/>
      <c r="B513" s="5" t="n"/>
      <c r="C513" s="5" t="n"/>
      <c r="D513" s="5" t="n"/>
      <c r="E513" s="5" t="n"/>
      <c r="F513" s="5" t="n"/>
      <c r="G513" s="5" t="n"/>
    </row>
    <row r="514" ht="15.75" customHeight="1" s="17">
      <c r="A514" s="5" t="n"/>
      <c r="B514" s="5" t="n"/>
      <c r="C514" s="5" t="n"/>
      <c r="D514" s="5" t="n"/>
      <c r="E514" s="5" t="n"/>
      <c r="F514" s="5" t="n"/>
      <c r="G514" s="5" t="n"/>
    </row>
    <row r="515" ht="15.75" customHeight="1" s="17">
      <c r="A515" s="5" t="n"/>
      <c r="B515" s="5" t="n"/>
      <c r="C515" s="5" t="n"/>
      <c r="D515" s="5" t="n"/>
      <c r="E515" s="5" t="n"/>
      <c r="F515" s="5" t="n"/>
      <c r="G515" s="5" t="n"/>
    </row>
    <row r="516" ht="15.75" customHeight="1" s="17">
      <c r="A516" s="5" t="n"/>
      <c r="B516" s="5" t="n"/>
      <c r="C516" s="5" t="n"/>
      <c r="D516" s="5" t="n"/>
      <c r="E516" s="5" t="n"/>
      <c r="F516" s="5" t="n"/>
      <c r="G516" s="5" t="n"/>
    </row>
    <row r="517" ht="15.75" customHeight="1" s="17">
      <c r="A517" s="5" t="n"/>
      <c r="B517" s="5" t="n"/>
      <c r="C517" s="5" t="n"/>
      <c r="D517" s="5" t="n"/>
      <c r="E517" s="5" t="n"/>
      <c r="F517" s="5" t="n"/>
      <c r="G517" s="5" t="n"/>
    </row>
    <row r="518" ht="15.75" customHeight="1" s="17">
      <c r="A518" s="5" t="n"/>
      <c r="B518" s="5" t="n"/>
      <c r="C518" s="5" t="n"/>
      <c r="D518" s="5" t="n"/>
      <c r="E518" s="5" t="n"/>
      <c r="F518" s="5" t="n"/>
      <c r="G518" s="5" t="n"/>
    </row>
    <row r="519" ht="15.75" customHeight="1" s="17">
      <c r="A519" s="5" t="n"/>
      <c r="B519" s="5" t="n"/>
      <c r="C519" s="5" t="n"/>
      <c r="D519" s="5" t="n"/>
      <c r="E519" s="5" t="n"/>
      <c r="F519" s="5" t="n"/>
      <c r="G519" s="5" t="n"/>
    </row>
    <row r="520" ht="15.75" customHeight="1" s="17">
      <c r="A520" s="5" t="n"/>
      <c r="B520" s="5" t="n"/>
      <c r="C520" s="5" t="n"/>
      <c r="D520" s="5" t="n"/>
      <c r="E520" s="5" t="n"/>
      <c r="F520" s="5" t="n"/>
      <c r="G520" s="5" t="n"/>
    </row>
    <row r="521" ht="15.75" customHeight="1" s="17">
      <c r="A521" s="5" t="n"/>
      <c r="B521" s="5" t="n"/>
      <c r="C521" s="5" t="n"/>
      <c r="D521" s="5" t="n"/>
      <c r="E521" s="5" t="n"/>
      <c r="F521" s="5" t="n"/>
      <c r="G521" s="5" t="n"/>
    </row>
    <row r="522" ht="15.75" customHeight="1" s="17">
      <c r="A522" s="5" t="n"/>
      <c r="B522" s="5" t="n"/>
      <c r="C522" s="5" t="n"/>
      <c r="D522" s="5" t="n"/>
      <c r="E522" s="5" t="n"/>
      <c r="F522" s="5" t="n"/>
      <c r="G522" s="5" t="n"/>
    </row>
    <row r="523" ht="15.75" customHeight="1" s="17">
      <c r="A523" s="5" t="n"/>
      <c r="B523" s="5" t="n"/>
      <c r="C523" s="5" t="n"/>
      <c r="D523" s="5" t="n"/>
      <c r="E523" s="5" t="n"/>
      <c r="F523" s="5" t="n"/>
      <c r="G523" s="5" t="n"/>
    </row>
    <row r="524" ht="15.75" customHeight="1" s="17">
      <c r="A524" s="5" t="n"/>
      <c r="B524" s="5" t="n"/>
      <c r="C524" s="5" t="n"/>
      <c r="D524" s="5" t="n"/>
      <c r="E524" s="5" t="n"/>
      <c r="F524" s="5" t="n"/>
      <c r="G524" s="5" t="n"/>
    </row>
    <row r="525" ht="15.75" customHeight="1" s="17">
      <c r="A525" s="5" t="n"/>
      <c r="B525" s="5" t="n"/>
      <c r="C525" s="5" t="n"/>
      <c r="D525" s="5" t="n"/>
      <c r="E525" s="5" t="n"/>
      <c r="F525" s="5" t="n"/>
      <c r="G525" s="5" t="n"/>
    </row>
    <row r="526" ht="15.75" customHeight="1" s="17">
      <c r="A526" s="5" t="n"/>
      <c r="B526" s="5" t="n"/>
      <c r="C526" s="5" t="n"/>
      <c r="D526" s="5" t="n"/>
      <c r="E526" s="5" t="n"/>
      <c r="F526" s="5" t="n"/>
      <c r="G526" s="5" t="n"/>
    </row>
    <row r="527" ht="15.75" customHeight="1" s="17">
      <c r="A527" s="5" t="n"/>
      <c r="B527" s="5" t="n"/>
      <c r="C527" s="5" t="n"/>
      <c r="D527" s="5" t="n"/>
      <c r="E527" s="5" t="n"/>
      <c r="F527" s="5" t="n"/>
      <c r="G527" s="5" t="n"/>
    </row>
    <row r="528" ht="15.75" customHeight="1" s="17">
      <c r="A528" s="5" t="n"/>
      <c r="B528" s="5" t="n"/>
      <c r="C528" s="5" t="n"/>
      <c r="D528" s="5" t="n"/>
      <c r="E528" s="5" t="n"/>
      <c r="F528" s="5" t="n"/>
      <c r="G528" s="5" t="n"/>
    </row>
    <row r="529" ht="15.75" customHeight="1" s="17">
      <c r="A529" s="5" t="n"/>
      <c r="B529" s="5" t="n"/>
      <c r="C529" s="5" t="n"/>
      <c r="D529" s="5" t="n"/>
      <c r="E529" s="5" t="n"/>
      <c r="F529" s="5" t="n"/>
      <c r="G529" s="5" t="n"/>
    </row>
    <row r="530" ht="15.75" customHeight="1" s="17">
      <c r="A530" s="5" t="n"/>
      <c r="B530" s="5" t="n"/>
      <c r="C530" s="5" t="n"/>
      <c r="D530" s="5" t="n"/>
      <c r="E530" s="5" t="n"/>
      <c r="F530" s="5" t="n"/>
      <c r="G530" s="5" t="n"/>
    </row>
    <row r="531" ht="15.75" customHeight="1" s="17">
      <c r="A531" s="5" t="n"/>
      <c r="B531" s="5" t="n"/>
      <c r="C531" s="5" t="n"/>
      <c r="D531" s="5" t="n"/>
      <c r="E531" s="5" t="n"/>
      <c r="F531" s="5" t="n"/>
      <c r="G531" s="5" t="n"/>
    </row>
    <row r="532" ht="15.75" customHeight="1" s="17">
      <c r="A532" s="5" t="n"/>
      <c r="B532" s="5" t="n"/>
      <c r="C532" s="5" t="n"/>
      <c r="D532" s="5" t="n"/>
      <c r="E532" s="5" t="n"/>
      <c r="F532" s="5" t="n"/>
      <c r="G532" s="5" t="n"/>
    </row>
    <row r="533" ht="15.75" customHeight="1" s="17">
      <c r="A533" s="5" t="n"/>
      <c r="B533" s="5" t="n"/>
      <c r="C533" s="5" t="n"/>
      <c r="D533" s="5" t="n"/>
      <c r="E533" s="5" t="n"/>
      <c r="F533" s="5" t="n"/>
      <c r="G533" s="5" t="n"/>
    </row>
    <row r="534" ht="15.75" customHeight="1" s="17">
      <c r="A534" s="5" t="n"/>
      <c r="B534" s="5" t="n"/>
      <c r="C534" s="5" t="n"/>
      <c r="D534" s="5" t="n"/>
      <c r="E534" s="5" t="n"/>
      <c r="F534" s="5" t="n"/>
      <c r="G534" s="5" t="n"/>
    </row>
    <row r="535" ht="15.75" customHeight="1" s="17">
      <c r="A535" s="5" t="n"/>
      <c r="B535" s="5" t="n"/>
      <c r="C535" s="5" t="n"/>
      <c r="D535" s="5" t="n"/>
      <c r="E535" s="5" t="n"/>
      <c r="F535" s="5" t="n"/>
      <c r="G535" s="5" t="n"/>
    </row>
    <row r="536" ht="15.75" customHeight="1" s="17">
      <c r="A536" s="5" t="n"/>
      <c r="B536" s="5" t="n"/>
      <c r="C536" s="5" t="n"/>
      <c r="D536" s="5" t="n"/>
      <c r="E536" s="5" t="n"/>
      <c r="F536" s="5" t="n"/>
      <c r="G536" s="5" t="n"/>
    </row>
    <row r="537" ht="15.75" customHeight="1" s="17">
      <c r="A537" s="5" t="n"/>
      <c r="B537" s="5" t="n"/>
      <c r="C537" s="5" t="n"/>
      <c r="D537" s="5" t="n"/>
      <c r="E537" s="5" t="n"/>
      <c r="F537" s="5" t="n"/>
      <c r="G537" s="5" t="n"/>
    </row>
    <row r="538" ht="15.75" customHeight="1" s="17">
      <c r="A538" s="5" t="n"/>
      <c r="B538" s="5" t="n"/>
      <c r="C538" s="5" t="n"/>
      <c r="D538" s="5" t="n"/>
      <c r="E538" s="5" t="n"/>
      <c r="F538" s="5" t="n"/>
      <c r="G538" s="5" t="n"/>
    </row>
    <row r="539" ht="15.75" customHeight="1" s="17">
      <c r="A539" s="5" t="n"/>
      <c r="B539" s="5" t="n"/>
      <c r="C539" s="5" t="n"/>
      <c r="D539" s="5" t="n"/>
      <c r="E539" s="5" t="n"/>
      <c r="F539" s="5" t="n"/>
      <c r="G539" s="5" t="n"/>
    </row>
    <row r="540" ht="15.75" customHeight="1" s="17">
      <c r="A540" s="5" t="n"/>
      <c r="B540" s="5" t="n"/>
      <c r="C540" s="5" t="n"/>
      <c r="D540" s="5" t="n"/>
      <c r="E540" s="5" t="n"/>
      <c r="F540" s="5" t="n"/>
      <c r="G540" s="5" t="n"/>
    </row>
    <row r="541" ht="15.75" customHeight="1" s="17">
      <c r="A541" s="5" t="n"/>
      <c r="B541" s="5" t="n"/>
      <c r="C541" s="5" t="n"/>
      <c r="D541" s="5" t="n"/>
      <c r="E541" s="5" t="n"/>
      <c r="F541" s="5" t="n"/>
      <c r="G541" s="5" t="n"/>
    </row>
    <row r="542" ht="15.75" customHeight="1" s="17">
      <c r="A542" s="5" t="n"/>
      <c r="B542" s="5" t="n"/>
      <c r="C542" s="5" t="n"/>
      <c r="D542" s="5" t="n"/>
      <c r="E542" s="5" t="n"/>
      <c r="F542" s="5" t="n"/>
      <c r="G542" s="5" t="n"/>
    </row>
    <row r="543" ht="15.75" customHeight="1" s="17">
      <c r="A543" s="5" t="n"/>
      <c r="B543" s="5" t="n"/>
      <c r="C543" s="5" t="n"/>
      <c r="D543" s="5" t="n"/>
      <c r="E543" s="5" t="n"/>
      <c r="F543" s="5" t="n"/>
      <c r="G543" s="5" t="n"/>
    </row>
    <row r="544" ht="15.75" customHeight="1" s="17">
      <c r="A544" s="5" t="n"/>
      <c r="B544" s="5" t="n"/>
      <c r="C544" s="5" t="n"/>
      <c r="D544" s="5" t="n"/>
      <c r="E544" s="5" t="n"/>
      <c r="F544" s="5" t="n"/>
      <c r="G544" s="5" t="n"/>
    </row>
    <row r="545" ht="15.75" customHeight="1" s="17">
      <c r="A545" s="5" t="n"/>
      <c r="B545" s="5" t="n"/>
      <c r="C545" s="5" t="n"/>
      <c r="D545" s="5" t="n"/>
      <c r="E545" s="5" t="n"/>
      <c r="F545" s="5" t="n"/>
      <c r="G545" s="5" t="n"/>
    </row>
    <row r="546" ht="15.75" customHeight="1" s="17">
      <c r="A546" s="5" t="n"/>
      <c r="B546" s="5" t="n"/>
      <c r="C546" s="5" t="n"/>
      <c r="D546" s="5" t="n"/>
      <c r="E546" s="5" t="n"/>
      <c r="F546" s="5" t="n"/>
      <c r="G546" s="5" t="n"/>
    </row>
    <row r="547" ht="15.75" customHeight="1" s="17">
      <c r="A547" s="5" t="n"/>
      <c r="B547" s="5" t="n"/>
      <c r="C547" s="5" t="n"/>
      <c r="D547" s="5" t="n"/>
      <c r="E547" s="5" t="n"/>
      <c r="F547" s="5" t="n"/>
      <c r="G547" s="5" t="n"/>
    </row>
    <row r="548" ht="15.75" customHeight="1" s="17">
      <c r="A548" s="5" t="n"/>
      <c r="B548" s="5" t="n"/>
      <c r="C548" s="5" t="n"/>
      <c r="D548" s="5" t="n"/>
      <c r="E548" s="5" t="n"/>
      <c r="F548" s="5" t="n"/>
      <c r="G548" s="5" t="n"/>
    </row>
    <row r="549" ht="15.75" customHeight="1" s="17">
      <c r="A549" s="5" t="n"/>
      <c r="B549" s="5" t="n"/>
      <c r="C549" s="5" t="n"/>
      <c r="D549" s="5" t="n"/>
      <c r="E549" s="5" t="n"/>
      <c r="F549" s="5" t="n"/>
      <c r="G549" s="5" t="n"/>
    </row>
    <row r="550" ht="15.75" customHeight="1" s="17">
      <c r="A550" s="5" t="n"/>
      <c r="B550" s="5" t="n"/>
      <c r="C550" s="5" t="n"/>
      <c r="D550" s="5" t="n"/>
      <c r="E550" s="5" t="n"/>
      <c r="F550" s="5" t="n"/>
      <c r="G550" s="5" t="n"/>
    </row>
    <row r="551" ht="15.75" customHeight="1" s="17">
      <c r="A551" s="5" t="n"/>
      <c r="B551" s="5" t="n"/>
      <c r="C551" s="5" t="n"/>
      <c r="D551" s="5" t="n"/>
      <c r="E551" s="5" t="n"/>
      <c r="F551" s="5" t="n"/>
      <c r="G551" s="5" t="n"/>
    </row>
    <row r="552" ht="15.75" customHeight="1" s="17">
      <c r="A552" s="5" t="n"/>
      <c r="B552" s="5" t="n"/>
      <c r="C552" s="5" t="n"/>
      <c r="D552" s="5" t="n"/>
      <c r="E552" s="5" t="n"/>
      <c r="F552" s="5" t="n"/>
      <c r="G552" s="5" t="n"/>
    </row>
    <row r="553" ht="15.75" customHeight="1" s="17">
      <c r="A553" s="5" t="n"/>
      <c r="B553" s="5" t="n"/>
      <c r="C553" s="5" t="n"/>
      <c r="D553" s="5" t="n"/>
      <c r="E553" s="5" t="n"/>
      <c r="F553" s="5" t="n"/>
      <c r="G553" s="5" t="n"/>
    </row>
    <row r="554" ht="15.75" customHeight="1" s="17">
      <c r="A554" s="5" t="n"/>
      <c r="B554" s="5" t="n"/>
      <c r="C554" s="5" t="n"/>
      <c r="D554" s="5" t="n"/>
      <c r="E554" s="5" t="n"/>
      <c r="F554" s="5" t="n"/>
      <c r="G554" s="5" t="n"/>
    </row>
    <row r="555" ht="15.75" customHeight="1" s="17">
      <c r="A555" s="5" t="n"/>
      <c r="B555" s="5" t="n"/>
      <c r="C555" s="5" t="n"/>
      <c r="D555" s="5" t="n"/>
      <c r="E555" s="5" t="n"/>
      <c r="F555" s="5" t="n"/>
      <c r="G555" s="5" t="n"/>
    </row>
    <row r="556" ht="15.75" customHeight="1" s="17">
      <c r="A556" s="5" t="n"/>
      <c r="B556" s="5" t="n"/>
      <c r="C556" s="5" t="n"/>
      <c r="D556" s="5" t="n"/>
      <c r="E556" s="5" t="n"/>
      <c r="F556" s="5" t="n"/>
      <c r="G556" s="5" t="n"/>
    </row>
    <row r="557" ht="15.75" customHeight="1" s="17">
      <c r="A557" s="5" t="n"/>
      <c r="B557" s="5" t="n"/>
      <c r="C557" s="5" t="n"/>
      <c r="D557" s="5" t="n"/>
      <c r="E557" s="5" t="n"/>
      <c r="F557" s="5" t="n"/>
      <c r="G557" s="5" t="n"/>
    </row>
    <row r="558" ht="15.75" customHeight="1" s="17">
      <c r="A558" s="5" t="n"/>
      <c r="B558" s="5" t="n"/>
      <c r="C558" s="5" t="n"/>
      <c r="D558" s="5" t="n"/>
      <c r="E558" s="5" t="n"/>
      <c r="F558" s="5" t="n"/>
      <c r="G558" s="5" t="n"/>
    </row>
    <row r="559" ht="15.75" customHeight="1" s="17">
      <c r="A559" s="5" t="n"/>
      <c r="B559" s="5" t="n"/>
      <c r="C559" s="5" t="n"/>
      <c r="D559" s="5" t="n"/>
      <c r="E559" s="5" t="n"/>
      <c r="F559" s="5" t="n"/>
      <c r="G559" s="5" t="n"/>
    </row>
    <row r="560" ht="15.75" customHeight="1" s="17">
      <c r="A560" s="5" t="n"/>
      <c r="B560" s="5" t="n"/>
      <c r="C560" s="5" t="n"/>
      <c r="D560" s="5" t="n"/>
      <c r="E560" s="5" t="n"/>
      <c r="F560" s="5" t="n"/>
      <c r="G560" s="5" t="n"/>
    </row>
    <row r="561" ht="15.75" customHeight="1" s="17">
      <c r="A561" s="5" t="n"/>
      <c r="B561" s="5" t="n"/>
      <c r="C561" s="5" t="n"/>
      <c r="D561" s="5" t="n"/>
      <c r="E561" s="5" t="n"/>
      <c r="F561" s="5" t="n"/>
      <c r="G561" s="5" t="n"/>
    </row>
    <row r="562" ht="15.75" customHeight="1" s="17">
      <c r="A562" s="5" t="n"/>
      <c r="B562" s="5" t="n"/>
      <c r="C562" s="5" t="n"/>
      <c r="D562" s="5" t="n"/>
      <c r="E562" s="5" t="n"/>
      <c r="F562" s="5" t="n"/>
      <c r="G562" s="5" t="n"/>
    </row>
    <row r="563" ht="15.75" customHeight="1" s="17">
      <c r="A563" s="5" t="n"/>
      <c r="B563" s="5" t="n"/>
      <c r="C563" s="5" t="n"/>
      <c r="D563" s="5" t="n"/>
      <c r="E563" s="5" t="n"/>
      <c r="F563" s="5" t="n"/>
      <c r="G563" s="5" t="n"/>
    </row>
    <row r="564" ht="15.75" customHeight="1" s="17">
      <c r="A564" s="5" t="n"/>
      <c r="B564" s="5" t="n"/>
      <c r="C564" s="5" t="n"/>
      <c r="D564" s="5" t="n"/>
      <c r="E564" s="5" t="n"/>
      <c r="F564" s="5" t="n"/>
      <c r="G564" s="5" t="n"/>
    </row>
    <row r="565" ht="15.75" customHeight="1" s="17">
      <c r="A565" s="5" t="n"/>
      <c r="B565" s="5" t="n"/>
      <c r="C565" s="5" t="n"/>
      <c r="D565" s="5" t="n"/>
      <c r="E565" s="5" t="n"/>
      <c r="F565" s="5" t="n"/>
      <c r="G565" s="5" t="n"/>
    </row>
    <row r="566" ht="15.75" customHeight="1" s="17">
      <c r="A566" s="5" t="n"/>
      <c r="B566" s="5" t="n"/>
      <c r="C566" s="5" t="n"/>
      <c r="D566" s="5" t="n"/>
      <c r="E566" s="5" t="n"/>
      <c r="F566" s="5" t="n"/>
      <c r="G566" s="5" t="n"/>
    </row>
    <row r="567" ht="15.75" customHeight="1" s="17">
      <c r="A567" s="5" t="n"/>
      <c r="B567" s="5" t="n"/>
      <c r="C567" s="5" t="n"/>
      <c r="D567" s="5" t="n"/>
      <c r="E567" s="5" t="n"/>
      <c r="F567" s="5" t="n"/>
      <c r="G567" s="5" t="n"/>
    </row>
    <row r="568" ht="15.75" customHeight="1" s="17">
      <c r="A568" s="5" t="n"/>
      <c r="B568" s="5" t="n"/>
      <c r="C568" s="5" t="n"/>
      <c r="D568" s="5" t="n"/>
      <c r="E568" s="5" t="n"/>
      <c r="F568" s="5" t="n"/>
      <c r="G568" s="5" t="n"/>
    </row>
    <row r="569" ht="15.75" customHeight="1" s="17">
      <c r="A569" s="5" t="n"/>
      <c r="B569" s="5" t="n"/>
      <c r="C569" s="5" t="n"/>
      <c r="D569" s="5" t="n"/>
      <c r="E569" s="5" t="n"/>
      <c r="F569" s="5" t="n"/>
      <c r="G569" s="5" t="n"/>
    </row>
    <row r="570" ht="15.75" customHeight="1" s="17">
      <c r="A570" s="5" t="n"/>
      <c r="B570" s="5" t="n"/>
      <c r="C570" s="5" t="n"/>
      <c r="D570" s="5" t="n"/>
      <c r="E570" s="5" t="n"/>
      <c r="F570" s="5" t="n"/>
      <c r="G570" s="5" t="n"/>
    </row>
    <row r="571" ht="15.75" customHeight="1" s="17">
      <c r="A571" s="5" t="n"/>
      <c r="B571" s="5" t="n"/>
      <c r="C571" s="5" t="n"/>
      <c r="D571" s="5" t="n"/>
      <c r="E571" s="5" t="n"/>
      <c r="F571" s="5" t="n"/>
      <c r="G571" s="5" t="n"/>
    </row>
    <row r="572" ht="15.75" customHeight="1" s="17">
      <c r="A572" s="5" t="n"/>
      <c r="B572" s="5" t="n"/>
      <c r="C572" s="5" t="n"/>
      <c r="D572" s="5" t="n"/>
      <c r="E572" s="5" t="n"/>
      <c r="F572" s="5" t="n"/>
      <c r="G572" s="5" t="n"/>
    </row>
    <row r="573" ht="15.75" customHeight="1" s="17">
      <c r="A573" s="5" t="n"/>
      <c r="B573" s="5" t="n"/>
      <c r="C573" s="5" t="n"/>
      <c r="D573" s="5" t="n"/>
      <c r="E573" s="5" t="n"/>
      <c r="F573" s="5" t="n"/>
      <c r="G573" s="5" t="n"/>
    </row>
    <row r="574" ht="15.75" customHeight="1" s="17">
      <c r="A574" s="5" t="n"/>
      <c r="B574" s="5" t="n"/>
      <c r="C574" s="5" t="n"/>
      <c r="D574" s="5" t="n"/>
      <c r="E574" s="5" t="n"/>
      <c r="F574" s="5" t="n"/>
      <c r="G574" s="5" t="n"/>
    </row>
    <row r="575" ht="15.75" customHeight="1" s="17">
      <c r="A575" s="5" t="n"/>
      <c r="B575" s="5" t="n"/>
      <c r="C575" s="5" t="n"/>
      <c r="D575" s="5" t="n"/>
      <c r="E575" s="5" t="n"/>
      <c r="F575" s="5" t="n"/>
      <c r="G575" s="5" t="n"/>
    </row>
    <row r="576" ht="15.75" customHeight="1" s="17">
      <c r="A576" s="5" t="n"/>
      <c r="B576" s="5" t="n"/>
      <c r="C576" s="5" t="n"/>
      <c r="D576" s="5" t="n"/>
      <c r="E576" s="5" t="n"/>
      <c r="F576" s="5" t="n"/>
      <c r="G576" s="5" t="n"/>
    </row>
    <row r="577" ht="15.75" customHeight="1" s="17">
      <c r="A577" s="5" t="n"/>
      <c r="B577" s="5" t="n"/>
      <c r="C577" s="5" t="n"/>
      <c r="D577" s="5" t="n"/>
      <c r="E577" s="5" t="n"/>
      <c r="F577" s="5" t="n"/>
      <c r="G577" s="5" t="n"/>
    </row>
    <row r="578" ht="15.75" customHeight="1" s="17">
      <c r="A578" s="5" t="n"/>
      <c r="B578" s="5" t="n"/>
      <c r="C578" s="5" t="n"/>
      <c r="D578" s="5" t="n"/>
      <c r="E578" s="5" t="n"/>
      <c r="F578" s="5" t="n"/>
      <c r="G578" s="5" t="n"/>
    </row>
    <row r="579" ht="15.75" customHeight="1" s="17">
      <c r="A579" s="5" t="n"/>
      <c r="B579" s="5" t="n"/>
      <c r="C579" s="5" t="n"/>
      <c r="D579" s="5" t="n"/>
      <c r="E579" s="5" t="n"/>
      <c r="F579" s="5" t="n"/>
      <c r="G579" s="5" t="n"/>
    </row>
    <row r="580" ht="15.75" customHeight="1" s="17">
      <c r="A580" s="5" t="n"/>
      <c r="B580" s="5" t="n"/>
      <c r="C580" s="5" t="n"/>
      <c r="D580" s="5" t="n"/>
      <c r="E580" s="5" t="n"/>
      <c r="F580" s="5" t="n"/>
      <c r="G580" s="5" t="n"/>
    </row>
    <row r="581" ht="15.75" customHeight="1" s="17">
      <c r="A581" s="5" t="n"/>
      <c r="B581" s="5" t="n"/>
      <c r="C581" s="5" t="n"/>
      <c r="D581" s="5" t="n"/>
      <c r="E581" s="5" t="n"/>
      <c r="F581" s="5" t="n"/>
      <c r="G581" s="5" t="n"/>
    </row>
    <row r="582" ht="15.75" customHeight="1" s="17">
      <c r="A582" s="5" t="n"/>
      <c r="B582" s="5" t="n"/>
      <c r="C582" s="5" t="n"/>
      <c r="D582" s="5" t="n"/>
      <c r="E582" s="5" t="n"/>
      <c r="F582" s="5" t="n"/>
      <c r="G582" s="5" t="n"/>
    </row>
    <row r="583" ht="15.75" customHeight="1" s="17">
      <c r="A583" s="5" t="n"/>
      <c r="B583" s="5" t="n"/>
      <c r="C583" s="5" t="n"/>
      <c r="D583" s="5" t="n"/>
      <c r="E583" s="5" t="n"/>
      <c r="F583" s="5" t="n"/>
      <c r="G583" s="5" t="n"/>
    </row>
    <row r="584" ht="15.75" customHeight="1" s="17">
      <c r="A584" s="5" t="n"/>
      <c r="B584" s="5" t="n"/>
      <c r="C584" s="5" t="n"/>
      <c r="D584" s="5" t="n"/>
      <c r="E584" s="5" t="n"/>
      <c r="F584" s="5" t="n"/>
      <c r="G584" s="5" t="n"/>
    </row>
    <row r="585" ht="15.75" customHeight="1" s="17">
      <c r="A585" s="5" t="n"/>
      <c r="B585" s="5" t="n"/>
      <c r="C585" s="5" t="n"/>
      <c r="D585" s="5" t="n"/>
      <c r="E585" s="5" t="n"/>
      <c r="F585" s="5" t="n"/>
      <c r="G585" s="5" t="n"/>
    </row>
    <row r="586" ht="15.75" customHeight="1" s="17">
      <c r="A586" s="5" t="n"/>
      <c r="B586" s="5" t="n"/>
      <c r="C586" s="5" t="n"/>
      <c r="D586" s="5" t="n"/>
      <c r="E586" s="5" t="n"/>
      <c r="F586" s="5" t="n"/>
      <c r="G586" s="5" t="n"/>
    </row>
    <row r="587" ht="15.75" customHeight="1" s="17">
      <c r="A587" s="5" t="n"/>
      <c r="B587" s="5" t="n"/>
      <c r="C587" s="5" t="n"/>
      <c r="D587" s="5" t="n"/>
      <c r="E587" s="5" t="n"/>
      <c r="F587" s="5" t="n"/>
      <c r="G587" s="5" t="n"/>
    </row>
    <row r="588" ht="15.75" customHeight="1" s="17">
      <c r="A588" s="5" t="n"/>
      <c r="B588" s="5" t="n"/>
      <c r="C588" s="5" t="n"/>
      <c r="D588" s="5" t="n"/>
      <c r="E588" s="5" t="n"/>
      <c r="F588" s="5" t="n"/>
      <c r="G588" s="5" t="n"/>
    </row>
    <row r="589" ht="15.75" customHeight="1" s="17">
      <c r="A589" s="5" t="n"/>
      <c r="B589" s="5" t="n"/>
      <c r="C589" s="5" t="n"/>
      <c r="D589" s="5" t="n"/>
      <c r="E589" s="5" t="n"/>
      <c r="F589" s="5" t="n"/>
      <c r="G589" s="5" t="n"/>
    </row>
    <row r="590" ht="15.75" customHeight="1" s="17">
      <c r="A590" s="5" t="n"/>
      <c r="B590" s="5" t="n"/>
      <c r="C590" s="5" t="n"/>
      <c r="D590" s="5" t="n"/>
      <c r="E590" s="5" t="n"/>
      <c r="F590" s="5" t="n"/>
      <c r="G590" s="5" t="n"/>
    </row>
    <row r="591" ht="15.75" customHeight="1" s="17">
      <c r="A591" s="5" t="n"/>
      <c r="B591" s="5" t="n"/>
      <c r="C591" s="5" t="n"/>
      <c r="D591" s="5" t="n"/>
      <c r="E591" s="5" t="n"/>
      <c r="F591" s="5" t="n"/>
      <c r="G591" s="5" t="n"/>
    </row>
    <row r="592" ht="15.75" customHeight="1" s="17">
      <c r="A592" s="5" t="n"/>
      <c r="B592" s="5" t="n"/>
      <c r="C592" s="5" t="n"/>
      <c r="D592" s="5" t="n"/>
      <c r="E592" s="5" t="n"/>
      <c r="F592" s="5" t="n"/>
      <c r="G592" s="5" t="n"/>
    </row>
    <row r="593" ht="15.75" customHeight="1" s="17">
      <c r="A593" s="5" t="n"/>
      <c r="B593" s="5" t="n"/>
      <c r="C593" s="5" t="n"/>
      <c r="D593" s="5" t="n"/>
      <c r="E593" s="5" t="n"/>
      <c r="F593" s="5" t="n"/>
      <c r="G593" s="5" t="n"/>
    </row>
    <row r="594" ht="15.75" customHeight="1" s="17">
      <c r="A594" s="5" t="n"/>
      <c r="B594" s="5" t="n"/>
      <c r="C594" s="5" t="n"/>
      <c r="D594" s="5" t="n"/>
      <c r="E594" s="5" t="n"/>
      <c r="F594" s="5" t="n"/>
      <c r="G594" s="5" t="n"/>
    </row>
    <row r="595" ht="15.75" customHeight="1" s="17">
      <c r="A595" s="5" t="n"/>
      <c r="B595" s="5" t="n"/>
      <c r="C595" s="5" t="n"/>
      <c r="D595" s="5" t="n"/>
      <c r="E595" s="5" t="n"/>
      <c r="F595" s="5" t="n"/>
      <c r="G595" s="5" t="n"/>
    </row>
    <row r="596" ht="15.75" customHeight="1" s="17">
      <c r="A596" s="5" t="n"/>
      <c r="B596" s="5" t="n"/>
      <c r="C596" s="5" t="n"/>
      <c r="D596" s="5" t="n"/>
      <c r="E596" s="5" t="n"/>
      <c r="F596" s="5" t="n"/>
      <c r="G596" s="5" t="n"/>
    </row>
    <row r="597" ht="15.75" customHeight="1" s="17">
      <c r="A597" s="5" t="n"/>
      <c r="B597" s="5" t="n"/>
      <c r="C597" s="5" t="n"/>
      <c r="D597" s="5" t="n"/>
      <c r="E597" s="5" t="n"/>
      <c r="F597" s="5" t="n"/>
      <c r="G597" s="5" t="n"/>
    </row>
    <row r="598" ht="15.75" customHeight="1" s="17">
      <c r="A598" s="5" t="n"/>
      <c r="B598" s="5" t="n"/>
      <c r="C598" s="5" t="n"/>
      <c r="D598" s="5" t="n"/>
      <c r="E598" s="5" t="n"/>
      <c r="F598" s="5" t="n"/>
      <c r="G598" s="5" t="n"/>
    </row>
    <row r="599" ht="15.75" customHeight="1" s="17">
      <c r="A599" s="5" t="n"/>
      <c r="B599" s="5" t="n"/>
      <c r="C599" s="5" t="n"/>
      <c r="D599" s="5" t="n"/>
      <c r="E599" s="5" t="n"/>
      <c r="F599" s="5" t="n"/>
      <c r="G599" s="5" t="n"/>
    </row>
    <row r="600" ht="15.75" customHeight="1" s="17">
      <c r="A600" s="5" t="n"/>
      <c r="B600" s="5" t="n"/>
      <c r="C600" s="5" t="n"/>
      <c r="D600" s="5" t="n"/>
      <c r="E600" s="5" t="n"/>
      <c r="F600" s="5" t="n"/>
      <c r="G600" s="5" t="n"/>
    </row>
    <row r="601" ht="15.75" customHeight="1" s="17">
      <c r="A601" s="5" t="n"/>
      <c r="B601" s="5" t="n"/>
      <c r="C601" s="5" t="n"/>
      <c r="D601" s="5" t="n"/>
      <c r="E601" s="5" t="n"/>
      <c r="F601" s="5" t="n"/>
      <c r="G601" s="5" t="n"/>
    </row>
    <row r="602" ht="15.75" customHeight="1" s="17">
      <c r="A602" s="5" t="n"/>
      <c r="B602" s="5" t="n"/>
      <c r="C602" s="5" t="n"/>
      <c r="D602" s="5" t="n"/>
      <c r="E602" s="5" t="n"/>
      <c r="F602" s="5" t="n"/>
      <c r="G602" s="5" t="n"/>
    </row>
    <row r="603" ht="15.75" customHeight="1" s="17">
      <c r="A603" s="5" t="n"/>
      <c r="B603" s="5" t="n"/>
      <c r="C603" s="5" t="n"/>
      <c r="D603" s="5" t="n"/>
      <c r="E603" s="5" t="n"/>
      <c r="F603" s="5" t="n"/>
      <c r="G603" s="5" t="n"/>
    </row>
    <row r="604" ht="15.75" customHeight="1" s="17">
      <c r="A604" s="5" t="n"/>
      <c r="B604" s="5" t="n"/>
      <c r="C604" s="5" t="n"/>
      <c r="D604" s="5" t="n"/>
      <c r="E604" s="5" t="n"/>
      <c r="F604" s="5" t="n"/>
      <c r="G604" s="5" t="n"/>
    </row>
    <row r="605" ht="15.75" customHeight="1" s="17">
      <c r="A605" s="5" t="n"/>
      <c r="B605" s="5" t="n"/>
      <c r="C605" s="5" t="n"/>
      <c r="D605" s="5" t="n"/>
      <c r="E605" s="5" t="n"/>
      <c r="F605" s="5" t="n"/>
      <c r="G605" s="5" t="n"/>
    </row>
    <row r="606" ht="15.75" customHeight="1" s="17">
      <c r="A606" s="5" t="n"/>
      <c r="B606" s="5" t="n"/>
      <c r="C606" s="5" t="n"/>
      <c r="D606" s="5" t="n"/>
      <c r="E606" s="5" t="n"/>
      <c r="F606" s="5" t="n"/>
      <c r="G606" s="5" t="n"/>
    </row>
    <row r="607" ht="15.75" customHeight="1" s="17">
      <c r="A607" s="5" t="n"/>
      <c r="B607" s="5" t="n"/>
      <c r="C607" s="5" t="n"/>
      <c r="D607" s="5" t="n"/>
      <c r="E607" s="5" t="n"/>
      <c r="F607" s="5" t="n"/>
      <c r="G607" s="5" t="n"/>
    </row>
    <row r="608" ht="15.75" customHeight="1" s="17">
      <c r="A608" s="5" t="n"/>
      <c r="B608" s="5" t="n"/>
      <c r="C608" s="5" t="n"/>
      <c r="D608" s="5" t="n"/>
      <c r="E608" s="5" t="n"/>
      <c r="F608" s="5" t="n"/>
      <c r="G608" s="5" t="n"/>
    </row>
    <row r="609" ht="15.75" customHeight="1" s="17">
      <c r="A609" s="5" t="n"/>
      <c r="B609" s="5" t="n"/>
      <c r="C609" s="5" t="n"/>
      <c r="D609" s="5" t="n"/>
      <c r="E609" s="5" t="n"/>
      <c r="F609" s="5" t="n"/>
      <c r="G609" s="5" t="n"/>
    </row>
    <row r="610" ht="15.75" customHeight="1" s="17">
      <c r="A610" s="5" t="n"/>
      <c r="B610" s="5" t="n"/>
      <c r="C610" s="5" t="n"/>
      <c r="D610" s="5" t="n"/>
      <c r="E610" s="5" t="n"/>
      <c r="F610" s="5" t="n"/>
      <c r="G610" s="5" t="n"/>
    </row>
    <row r="611" ht="15.75" customHeight="1" s="17">
      <c r="A611" s="5" t="n"/>
      <c r="B611" s="5" t="n"/>
      <c r="C611" s="5" t="n"/>
      <c r="D611" s="5" t="n"/>
      <c r="E611" s="5" t="n"/>
      <c r="F611" s="5" t="n"/>
      <c r="G611" s="5" t="n"/>
    </row>
    <row r="612" ht="15.75" customHeight="1" s="17">
      <c r="A612" s="5" t="n"/>
      <c r="B612" s="5" t="n"/>
      <c r="C612" s="5" t="n"/>
      <c r="D612" s="5" t="n"/>
      <c r="E612" s="5" t="n"/>
      <c r="F612" s="5" t="n"/>
      <c r="G612" s="5" t="n"/>
    </row>
    <row r="613" ht="15.75" customHeight="1" s="17">
      <c r="A613" s="5" t="n"/>
      <c r="B613" s="5" t="n"/>
      <c r="C613" s="5" t="n"/>
      <c r="D613" s="5" t="n"/>
      <c r="E613" s="5" t="n"/>
      <c r="F613" s="5" t="n"/>
      <c r="G613" s="5" t="n"/>
    </row>
    <row r="614" ht="15.75" customHeight="1" s="17">
      <c r="A614" s="5" t="n"/>
      <c r="B614" s="5" t="n"/>
      <c r="C614" s="5" t="n"/>
      <c r="D614" s="5" t="n"/>
      <c r="E614" s="5" t="n"/>
      <c r="F614" s="5" t="n"/>
      <c r="G614" s="5" t="n"/>
    </row>
    <row r="615" ht="15.75" customHeight="1" s="17">
      <c r="A615" s="5" t="n"/>
      <c r="B615" s="5" t="n"/>
      <c r="C615" s="5" t="n"/>
      <c r="D615" s="5" t="n"/>
      <c r="E615" s="5" t="n"/>
      <c r="F615" s="5" t="n"/>
      <c r="G615" s="5" t="n"/>
    </row>
    <row r="616" ht="15.75" customHeight="1" s="17">
      <c r="A616" s="5" t="n"/>
      <c r="B616" s="5" t="n"/>
      <c r="C616" s="5" t="n"/>
      <c r="D616" s="5" t="n"/>
      <c r="E616" s="5" t="n"/>
      <c r="F616" s="5" t="n"/>
      <c r="G616" s="5" t="n"/>
    </row>
    <row r="617" ht="15.75" customHeight="1" s="17">
      <c r="A617" s="5" t="n"/>
      <c r="B617" s="5" t="n"/>
      <c r="C617" s="5" t="n"/>
      <c r="D617" s="5" t="n"/>
      <c r="E617" s="5" t="n"/>
      <c r="F617" s="5" t="n"/>
      <c r="G617" s="5" t="n"/>
    </row>
    <row r="618" ht="15.75" customHeight="1" s="17">
      <c r="A618" s="5" t="n"/>
      <c r="B618" s="5" t="n"/>
      <c r="C618" s="5" t="n"/>
      <c r="D618" s="5" t="n"/>
      <c r="E618" s="5" t="n"/>
      <c r="F618" s="5" t="n"/>
      <c r="G618" s="5" t="n"/>
    </row>
    <row r="619" ht="15.75" customHeight="1" s="17">
      <c r="A619" s="5" t="n"/>
      <c r="B619" s="5" t="n"/>
      <c r="C619" s="5" t="n"/>
      <c r="D619" s="5" t="n"/>
      <c r="E619" s="5" t="n"/>
      <c r="F619" s="5" t="n"/>
      <c r="G619" s="5" t="n"/>
    </row>
    <row r="620" ht="15.75" customHeight="1" s="17">
      <c r="A620" s="5" t="n"/>
      <c r="B620" s="5" t="n"/>
      <c r="C620" s="5" t="n"/>
      <c r="D620" s="5" t="n"/>
      <c r="E620" s="5" t="n"/>
      <c r="F620" s="5" t="n"/>
      <c r="G620" s="5" t="n"/>
    </row>
    <row r="621" ht="15.75" customHeight="1" s="17">
      <c r="A621" s="5" t="n"/>
      <c r="B621" s="5" t="n"/>
      <c r="C621" s="5" t="n"/>
      <c r="D621" s="5" t="n"/>
      <c r="E621" s="5" t="n"/>
      <c r="F621" s="5" t="n"/>
      <c r="G621" s="5" t="n"/>
    </row>
    <row r="622" ht="15.75" customHeight="1" s="17">
      <c r="A622" s="5" t="n"/>
      <c r="B622" s="5" t="n"/>
      <c r="C622" s="5" t="n"/>
      <c r="D622" s="5" t="n"/>
      <c r="E622" s="5" t="n"/>
      <c r="F622" s="5" t="n"/>
      <c r="G622" s="5" t="n"/>
    </row>
    <row r="623" ht="15.75" customHeight="1" s="17">
      <c r="A623" s="5" t="n"/>
      <c r="B623" s="5" t="n"/>
      <c r="C623" s="5" t="n"/>
      <c r="D623" s="5" t="n"/>
      <c r="E623" s="5" t="n"/>
      <c r="F623" s="5" t="n"/>
      <c r="G623" s="5" t="n"/>
    </row>
    <row r="624" ht="15.75" customHeight="1" s="17">
      <c r="A624" s="5" t="n"/>
      <c r="B624" s="5" t="n"/>
      <c r="C624" s="5" t="n"/>
      <c r="D624" s="5" t="n"/>
      <c r="E624" s="5" t="n"/>
      <c r="F624" s="5" t="n"/>
      <c r="G624" s="5" t="n"/>
    </row>
    <row r="625" ht="15.75" customHeight="1" s="17">
      <c r="A625" s="5" t="n"/>
      <c r="B625" s="5" t="n"/>
      <c r="C625" s="5" t="n"/>
      <c r="D625" s="5" t="n"/>
      <c r="E625" s="5" t="n"/>
      <c r="F625" s="5" t="n"/>
      <c r="G625" s="5" t="n"/>
    </row>
    <row r="626" ht="15.75" customHeight="1" s="17">
      <c r="A626" s="5" t="n"/>
      <c r="B626" s="5" t="n"/>
      <c r="C626" s="5" t="n"/>
      <c r="D626" s="5" t="n"/>
      <c r="E626" s="5" t="n"/>
      <c r="F626" s="5" t="n"/>
      <c r="G626" s="5" t="n"/>
    </row>
    <row r="627" ht="15.75" customHeight="1" s="17">
      <c r="A627" s="5" t="n"/>
      <c r="B627" s="5" t="n"/>
      <c r="C627" s="5" t="n"/>
      <c r="D627" s="5" t="n"/>
      <c r="E627" s="5" t="n"/>
      <c r="F627" s="5" t="n"/>
      <c r="G627" s="5" t="n"/>
    </row>
    <row r="628" ht="15.75" customHeight="1" s="17">
      <c r="A628" s="5" t="n"/>
      <c r="B628" s="5" t="n"/>
      <c r="C628" s="5" t="n"/>
      <c r="D628" s="5" t="n"/>
      <c r="E628" s="5" t="n"/>
      <c r="F628" s="5" t="n"/>
      <c r="G628" s="5" t="n"/>
    </row>
    <row r="629" ht="15.75" customHeight="1" s="17">
      <c r="A629" s="5" t="n"/>
      <c r="B629" s="5" t="n"/>
      <c r="C629" s="5" t="n"/>
      <c r="D629" s="5" t="n"/>
      <c r="E629" s="5" t="n"/>
      <c r="F629" s="5" t="n"/>
      <c r="G629" s="5" t="n"/>
    </row>
    <row r="630" ht="15.75" customHeight="1" s="17">
      <c r="A630" s="5" t="n"/>
      <c r="B630" s="5" t="n"/>
      <c r="C630" s="5" t="n"/>
      <c r="D630" s="5" t="n"/>
      <c r="E630" s="5" t="n"/>
      <c r="F630" s="5" t="n"/>
      <c r="G630" s="5" t="n"/>
    </row>
    <row r="631" ht="15.75" customHeight="1" s="17">
      <c r="A631" s="5" t="n"/>
      <c r="B631" s="5" t="n"/>
      <c r="C631" s="5" t="n"/>
      <c r="D631" s="5" t="n"/>
      <c r="E631" s="5" t="n"/>
      <c r="F631" s="5" t="n"/>
      <c r="G631" s="5" t="n"/>
    </row>
    <row r="632" ht="15.75" customHeight="1" s="17">
      <c r="A632" s="5" t="n"/>
      <c r="B632" s="5" t="n"/>
      <c r="C632" s="5" t="n"/>
      <c r="D632" s="5" t="n"/>
      <c r="E632" s="5" t="n"/>
      <c r="F632" s="5" t="n"/>
      <c r="G632" s="5" t="n"/>
    </row>
    <row r="633" ht="15.75" customHeight="1" s="17">
      <c r="A633" s="5" t="n"/>
      <c r="B633" s="5" t="n"/>
      <c r="C633" s="5" t="n"/>
      <c r="D633" s="5" t="n"/>
      <c r="E633" s="5" t="n"/>
      <c r="F633" s="5" t="n"/>
      <c r="G633" s="5" t="n"/>
    </row>
    <row r="634" ht="15.75" customHeight="1" s="17">
      <c r="A634" s="5" t="n"/>
      <c r="B634" s="5" t="n"/>
      <c r="C634" s="5" t="n"/>
      <c r="D634" s="5" t="n"/>
      <c r="E634" s="5" t="n"/>
      <c r="F634" s="5" t="n"/>
      <c r="G634" s="5" t="n"/>
    </row>
    <row r="635" ht="15.75" customHeight="1" s="17">
      <c r="A635" s="5" t="n"/>
      <c r="B635" s="5" t="n"/>
      <c r="C635" s="5" t="n"/>
      <c r="D635" s="5" t="n"/>
      <c r="E635" s="5" t="n"/>
      <c r="F635" s="5" t="n"/>
      <c r="G635" s="5" t="n"/>
    </row>
    <row r="636" ht="15.75" customHeight="1" s="17">
      <c r="A636" s="5" t="n"/>
      <c r="B636" s="5" t="n"/>
      <c r="C636" s="5" t="n"/>
      <c r="D636" s="5" t="n"/>
      <c r="E636" s="5" t="n"/>
      <c r="F636" s="5" t="n"/>
      <c r="G636" s="5" t="n"/>
    </row>
    <row r="637" ht="15.75" customHeight="1" s="17">
      <c r="A637" s="5" t="n"/>
      <c r="B637" s="5" t="n"/>
      <c r="C637" s="5" t="n"/>
      <c r="D637" s="5" t="n"/>
      <c r="E637" s="5" t="n"/>
      <c r="F637" s="5" t="n"/>
      <c r="G637" s="5" t="n"/>
    </row>
    <row r="638" ht="15.75" customHeight="1" s="17">
      <c r="A638" s="5" t="n"/>
      <c r="B638" s="5" t="n"/>
      <c r="C638" s="5" t="n"/>
      <c r="D638" s="5" t="n"/>
      <c r="E638" s="5" t="n"/>
      <c r="F638" s="5" t="n"/>
      <c r="G638" s="5" t="n"/>
    </row>
    <row r="639" ht="15.75" customHeight="1" s="17">
      <c r="A639" s="5" t="n"/>
      <c r="B639" s="5" t="n"/>
      <c r="C639" s="5" t="n"/>
      <c r="D639" s="5" t="n"/>
      <c r="E639" s="5" t="n"/>
      <c r="F639" s="5" t="n"/>
      <c r="G639" s="5" t="n"/>
    </row>
    <row r="640" ht="15.75" customHeight="1" s="17">
      <c r="A640" s="5" t="n"/>
      <c r="B640" s="5" t="n"/>
      <c r="C640" s="5" t="n"/>
      <c r="D640" s="5" t="n"/>
      <c r="E640" s="5" t="n"/>
      <c r="F640" s="5" t="n"/>
      <c r="G640" s="5" t="n"/>
    </row>
    <row r="641" ht="15.75" customHeight="1" s="17">
      <c r="A641" s="5" t="n"/>
      <c r="B641" s="5" t="n"/>
      <c r="C641" s="5" t="n"/>
      <c r="D641" s="5" t="n"/>
      <c r="E641" s="5" t="n"/>
      <c r="F641" s="5" t="n"/>
      <c r="G641" s="5" t="n"/>
    </row>
    <row r="642" ht="15.75" customHeight="1" s="17">
      <c r="A642" s="5" t="n"/>
      <c r="B642" s="5" t="n"/>
      <c r="C642" s="5" t="n"/>
      <c r="D642" s="5" t="n"/>
      <c r="E642" s="5" t="n"/>
      <c r="F642" s="5" t="n"/>
      <c r="G642" s="5" t="n"/>
    </row>
    <row r="643" ht="15.75" customHeight="1" s="17">
      <c r="A643" s="5" t="n"/>
      <c r="B643" s="5" t="n"/>
      <c r="C643" s="5" t="n"/>
      <c r="D643" s="5" t="n"/>
      <c r="E643" s="5" t="n"/>
      <c r="F643" s="5" t="n"/>
      <c r="G643" s="5" t="n"/>
    </row>
    <row r="644" ht="15.75" customHeight="1" s="17">
      <c r="A644" s="5" t="n"/>
      <c r="B644" s="5" t="n"/>
      <c r="C644" s="5" t="n"/>
      <c r="D644" s="5" t="n"/>
      <c r="E644" s="5" t="n"/>
      <c r="F644" s="5" t="n"/>
      <c r="G644" s="5" t="n"/>
    </row>
    <row r="645" ht="15.75" customHeight="1" s="17">
      <c r="A645" s="5" t="n"/>
      <c r="B645" s="5" t="n"/>
      <c r="C645" s="5" t="n"/>
      <c r="D645" s="5" t="n"/>
      <c r="E645" s="5" t="n"/>
      <c r="F645" s="5" t="n"/>
      <c r="G645" s="5" t="n"/>
    </row>
    <row r="646" ht="15.75" customHeight="1" s="17">
      <c r="A646" s="5" t="n"/>
      <c r="B646" s="5" t="n"/>
      <c r="C646" s="5" t="n"/>
      <c r="D646" s="5" t="n"/>
      <c r="E646" s="5" t="n"/>
      <c r="F646" s="5" t="n"/>
      <c r="G646" s="5" t="n"/>
    </row>
    <row r="647" ht="15.75" customHeight="1" s="17">
      <c r="A647" s="5" t="n"/>
      <c r="B647" s="5" t="n"/>
      <c r="C647" s="5" t="n"/>
      <c r="D647" s="5" t="n"/>
      <c r="E647" s="5" t="n"/>
      <c r="F647" s="5" t="n"/>
      <c r="G647" s="5" t="n"/>
    </row>
    <row r="648" ht="15.75" customHeight="1" s="17">
      <c r="A648" s="5" t="n"/>
      <c r="B648" s="5" t="n"/>
      <c r="C648" s="5" t="n"/>
      <c r="D648" s="5" t="n"/>
      <c r="E648" s="5" t="n"/>
      <c r="F648" s="5" t="n"/>
      <c r="G648" s="5" t="n"/>
    </row>
    <row r="649" ht="15.75" customHeight="1" s="17">
      <c r="A649" s="5" t="n"/>
      <c r="B649" s="5" t="n"/>
      <c r="C649" s="5" t="n"/>
      <c r="D649" s="5" t="n"/>
      <c r="E649" s="5" t="n"/>
      <c r="F649" s="5" t="n"/>
      <c r="G649" s="5" t="n"/>
    </row>
    <row r="650" ht="15.75" customHeight="1" s="17">
      <c r="A650" s="5" t="n"/>
      <c r="B650" s="5" t="n"/>
      <c r="C650" s="5" t="n"/>
      <c r="D650" s="5" t="n"/>
      <c r="E650" s="5" t="n"/>
      <c r="F650" s="5" t="n"/>
      <c r="G650" s="5" t="n"/>
    </row>
    <row r="651" ht="15.75" customHeight="1" s="17">
      <c r="A651" s="5" t="n"/>
      <c r="B651" s="5" t="n"/>
      <c r="C651" s="5" t="n"/>
      <c r="D651" s="5" t="n"/>
      <c r="E651" s="5" t="n"/>
      <c r="F651" s="5" t="n"/>
      <c r="G651" s="5" t="n"/>
    </row>
    <row r="652" ht="15.75" customHeight="1" s="17">
      <c r="A652" s="5" t="n"/>
      <c r="B652" s="5" t="n"/>
      <c r="C652" s="5" t="n"/>
      <c r="D652" s="5" t="n"/>
      <c r="E652" s="5" t="n"/>
      <c r="F652" s="5" t="n"/>
      <c r="G652" s="5" t="n"/>
    </row>
    <row r="653" ht="15.75" customHeight="1" s="17">
      <c r="A653" s="5" t="n"/>
      <c r="B653" s="5" t="n"/>
      <c r="C653" s="5" t="n"/>
      <c r="D653" s="5" t="n"/>
      <c r="E653" s="5" t="n"/>
      <c r="F653" s="5" t="n"/>
      <c r="G653" s="5" t="n"/>
    </row>
    <row r="654" ht="15.75" customHeight="1" s="17">
      <c r="A654" s="5" t="n"/>
      <c r="B654" s="5" t="n"/>
      <c r="C654" s="5" t="n"/>
      <c r="D654" s="5" t="n"/>
      <c r="E654" s="5" t="n"/>
      <c r="F654" s="5" t="n"/>
      <c r="G654" s="5" t="n"/>
    </row>
    <row r="655" ht="15.75" customHeight="1" s="17">
      <c r="A655" s="5" t="n"/>
      <c r="B655" s="5" t="n"/>
      <c r="C655" s="5" t="n"/>
      <c r="D655" s="5" t="n"/>
      <c r="E655" s="5" t="n"/>
      <c r="F655" s="5" t="n"/>
      <c r="G655" s="5" t="n"/>
    </row>
    <row r="656" ht="15.75" customHeight="1" s="17">
      <c r="A656" s="5" t="n"/>
      <c r="B656" s="5" t="n"/>
      <c r="C656" s="5" t="n"/>
      <c r="D656" s="5" t="n"/>
      <c r="E656" s="5" t="n"/>
      <c r="F656" s="5" t="n"/>
      <c r="G656" s="5" t="n"/>
    </row>
    <row r="657" ht="15.75" customHeight="1" s="17">
      <c r="A657" s="5" t="n"/>
      <c r="B657" s="5" t="n"/>
      <c r="C657" s="5" t="n"/>
      <c r="D657" s="5" t="n"/>
      <c r="E657" s="5" t="n"/>
      <c r="F657" s="5" t="n"/>
      <c r="G657" s="5" t="n"/>
    </row>
    <row r="658" ht="15.75" customHeight="1" s="17">
      <c r="A658" s="5" t="n"/>
      <c r="B658" s="5" t="n"/>
      <c r="C658" s="5" t="n"/>
      <c r="D658" s="5" t="n"/>
      <c r="E658" s="5" t="n"/>
      <c r="F658" s="5" t="n"/>
      <c r="G658" s="5" t="n"/>
    </row>
    <row r="659" ht="15.75" customHeight="1" s="17">
      <c r="A659" s="5" t="n"/>
      <c r="B659" s="5" t="n"/>
      <c r="C659" s="5" t="n"/>
      <c r="D659" s="5" t="n"/>
      <c r="E659" s="5" t="n"/>
      <c r="F659" s="5" t="n"/>
      <c r="G659" s="5" t="n"/>
    </row>
    <row r="660" ht="15.75" customHeight="1" s="17">
      <c r="A660" s="5" t="n"/>
      <c r="B660" s="5" t="n"/>
      <c r="C660" s="5" t="n"/>
      <c r="D660" s="5" t="n"/>
      <c r="E660" s="5" t="n"/>
      <c r="F660" s="5" t="n"/>
      <c r="G660" s="5" t="n"/>
    </row>
    <row r="661" ht="15.75" customHeight="1" s="17">
      <c r="A661" s="5" t="n"/>
      <c r="B661" s="5" t="n"/>
      <c r="C661" s="5" t="n"/>
      <c r="D661" s="5" t="n"/>
      <c r="E661" s="5" t="n"/>
      <c r="F661" s="5" t="n"/>
      <c r="G661" s="5" t="n"/>
    </row>
    <row r="662" ht="15.75" customHeight="1" s="17">
      <c r="A662" s="5" t="n"/>
      <c r="B662" s="5" t="n"/>
      <c r="C662" s="5" t="n"/>
      <c r="D662" s="5" t="n"/>
      <c r="E662" s="5" t="n"/>
      <c r="F662" s="5" t="n"/>
      <c r="G662" s="5" t="n"/>
    </row>
    <row r="663" ht="15.75" customHeight="1" s="17">
      <c r="A663" s="5" t="n"/>
      <c r="B663" s="5" t="n"/>
      <c r="C663" s="5" t="n"/>
      <c r="D663" s="5" t="n"/>
      <c r="E663" s="5" t="n"/>
      <c r="F663" s="5" t="n"/>
      <c r="G663" s="5" t="n"/>
    </row>
    <row r="664" ht="15.75" customHeight="1" s="17">
      <c r="A664" s="5" t="n"/>
      <c r="B664" s="5" t="n"/>
      <c r="C664" s="5" t="n"/>
      <c r="D664" s="5" t="n"/>
      <c r="E664" s="5" t="n"/>
      <c r="F664" s="5" t="n"/>
      <c r="G664" s="5" t="n"/>
    </row>
    <row r="665" ht="15.75" customHeight="1" s="17">
      <c r="A665" s="5" t="n"/>
      <c r="B665" s="5" t="n"/>
      <c r="C665" s="5" t="n"/>
      <c r="D665" s="5" t="n"/>
      <c r="E665" s="5" t="n"/>
      <c r="F665" s="5" t="n"/>
      <c r="G665" s="5" t="n"/>
    </row>
    <row r="666" ht="15.75" customHeight="1" s="17">
      <c r="A666" s="5" t="n"/>
      <c r="B666" s="5" t="n"/>
      <c r="C666" s="5" t="n"/>
      <c r="D666" s="5" t="n"/>
      <c r="E666" s="5" t="n"/>
      <c r="F666" s="5" t="n"/>
      <c r="G666" s="5" t="n"/>
    </row>
    <row r="667" ht="15.75" customHeight="1" s="17">
      <c r="A667" s="5" t="n"/>
      <c r="B667" s="5" t="n"/>
      <c r="C667" s="5" t="n"/>
      <c r="D667" s="5" t="n"/>
      <c r="E667" s="5" t="n"/>
      <c r="F667" s="5" t="n"/>
      <c r="G667" s="5" t="n"/>
    </row>
    <row r="668" ht="15.75" customHeight="1" s="17">
      <c r="A668" s="5" t="n"/>
      <c r="B668" s="5" t="n"/>
      <c r="C668" s="5" t="n"/>
      <c r="D668" s="5" t="n"/>
      <c r="E668" s="5" t="n"/>
      <c r="F668" s="5" t="n"/>
      <c r="G668" s="5" t="n"/>
    </row>
    <row r="669" ht="15.75" customHeight="1" s="17">
      <c r="A669" s="5" t="n"/>
      <c r="B669" s="5" t="n"/>
      <c r="C669" s="5" t="n"/>
      <c r="D669" s="5" t="n"/>
      <c r="E669" s="5" t="n"/>
      <c r="F669" s="5" t="n"/>
      <c r="G669" s="5" t="n"/>
    </row>
    <row r="670" ht="15.75" customHeight="1" s="17">
      <c r="A670" s="5" t="n"/>
      <c r="B670" s="5" t="n"/>
      <c r="C670" s="5" t="n"/>
      <c r="D670" s="5" t="n"/>
      <c r="E670" s="5" t="n"/>
      <c r="F670" s="5" t="n"/>
      <c r="G670" s="5" t="n"/>
    </row>
    <row r="671" ht="15.75" customHeight="1" s="17">
      <c r="A671" s="5" t="n"/>
      <c r="B671" s="5" t="n"/>
      <c r="C671" s="5" t="n"/>
      <c r="D671" s="5" t="n"/>
      <c r="E671" s="5" t="n"/>
      <c r="F671" s="5" t="n"/>
      <c r="G671" s="5" t="n"/>
    </row>
    <row r="672" ht="15.75" customHeight="1" s="17">
      <c r="A672" s="5" t="n"/>
      <c r="B672" s="5" t="n"/>
      <c r="C672" s="5" t="n"/>
      <c r="D672" s="5" t="n"/>
      <c r="E672" s="5" t="n"/>
      <c r="F672" s="5" t="n"/>
      <c r="G672" s="5" t="n"/>
    </row>
    <row r="673" ht="15.75" customHeight="1" s="17">
      <c r="A673" s="5" t="n"/>
      <c r="B673" s="5" t="n"/>
      <c r="C673" s="5" t="n"/>
      <c r="D673" s="5" t="n"/>
      <c r="E673" s="5" t="n"/>
      <c r="F673" s="5" t="n"/>
      <c r="G673" s="5" t="n"/>
    </row>
    <row r="674" ht="15.75" customHeight="1" s="17">
      <c r="A674" s="5" t="n"/>
      <c r="B674" s="5" t="n"/>
      <c r="C674" s="5" t="n"/>
      <c r="D674" s="5" t="n"/>
      <c r="E674" s="5" t="n"/>
      <c r="F674" s="5" t="n"/>
      <c r="G674" s="5" t="n"/>
    </row>
    <row r="675" ht="15.75" customHeight="1" s="17">
      <c r="A675" s="5" t="n"/>
      <c r="B675" s="5" t="n"/>
      <c r="C675" s="5" t="n"/>
      <c r="D675" s="5" t="n"/>
      <c r="E675" s="5" t="n"/>
      <c r="F675" s="5" t="n"/>
      <c r="G675" s="5" t="n"/>
    </row>
    <row r="676" ht="15.75" customHeight="1" s="17">
      <c r="A676" s="5" t="n"/>
      <c r="B676" s="5" t="n"/>
      <c r="C676" s="5" t="n"/>
      <c r="D676" s="5" t="n"/>
      <c r="E676" s="5" t="n"/>
      <c r="F676" s="5" t="n"/>
      <c r="G676" s="5" t="n"/>
    </row>
    <row r="677" ht="15.75" customHeight="1" s="17">
      <c r="A677" s="5" t="n"/>
      <c r="B677" s="5" t="n"/>
      <c r="C677" s="5" t="n"/>
      <c r="D677" s="5" t="n"/>
      <c r="E677" s="5" t="n"/>
      <c r="F677" s="5" t="n"/>
      <c r="G677" s="5" t="n"/>
    </row>
    <row r="678" ht="15.75" customHeight="1" s="17">
      <c r="A678" s="5" t="n"/>
      <c r="B678" s="5" t="n"/>
      <c r="C678" s="5" t="n"/>
      <c r="D678" s="5" t="n"/>
      <c r="E678" s="5" t="n"/>
      <c r="F678" s="5" t="n"/>
      <c r="G678" s="5" t="n"/>
    </row>
    <row r="679" ht="15.75" customHeight="1" s="17">
      <c r="A679" s="5" t="n"/>
      <c r="B679" s="5" t="n"/>
      <c r="C679" s="5" t="n"/>
      <c r="D679" s="5" t="n"/>
      <c r="E679" s="5" t="n"/>
      <c r="F679" s="5" t="n"/>
      <c r="G679" s="5" t="n"/>
    </row>
    <row r="680" ht="15.75" customHeight="1" s="17">
      <c r="A680" s="5" t="n"/>
      <c r="B680" s="5" t="n"/>
      <c r="C680" s="5" t="n"/>
      <c r="D680" s="5" t="n"/>
      <c r="E680" s="5" t="n"/>
      <c r="F680" s="5" t="n"/>
      <c r="G680" s="5" t="n"/>
    </row>
    <row r="681" ht="15.75" customHeight="1" s="17">
      <c r="A681" s="5" t="n"/>
      <c r="B681" s="5" t="n"/>
      <c r="C681" s="5" t="n"/>
      <c r="D681" s="5" t="n"/>
      <c r="E681" s="5" t="n"/>
      <c r="F681" s="5" t="n"/>
      <c r="G681" s="5" t="n"/>
    </row>
    <row r="682" ht="15.75" customHeight="1" s="17">
      <c r="A682" s="5" t="n"/>
      <c r="B682" s="5" t="n"/>
      <c r="C682" s="5" t="n"/>
      <c r="D682" s="5" t="n"/>
      <c r="E682" s="5" t="n"/>
      <c r="F682" s="5" t="n"/>
      <c r="G682" s="5" t="n"/>
    </row>
    <row r="683" ht="15.75" customHeight="1" s="17">
      <c r="A683" s="5" t="n"/>
      <c r="B683" s="5" t="n"/>
      <c r="C683" s="5" t="n"/>
      <c r="D683" s="5" t="n"/>
      <c r="E683" s="5" t="n"/>
      <c r="F683" s="5" t="n"/>
      <c r="G683" s="5" t="n"/>
    </row>
    <row r="684" ht="15.75" customHeight="1" s="17">
      <c r="A684" s="5" t="n"/>
      <c r="B684" s="5" t="n"/>
      <c r="C684" s="5" t="n"/>
      <c r="D684" s="5" t="n"/>
      <c r="E684" s="5" t="n"/>
      <c r="F684" s="5" t="n"/>
      <c r="G684" s="5" t="n"/>
    </row>
    <row r="685" ht="15.75" customHeight="1" s="17">
      <c r="A685" s="5" t="n"/>
      <c r="B685" s="5" t="n"/>
      <c r="C685" s="5" t="n"/>
      <c r="D685" s="5" t="n"/>
      <c r="E685" s="5" t="n"/>
      <c r="F685" s="5" t="n"/>
      <c r="G685" s="5" t="n"/>
    </row>
    <row r="686" ht="15.75" customHeight="1" s="17">
      <c r="A686" s="5" t="n"/>
      <c r="B686" s="5" t="n"/>
      <c r="C686" s="5" t="n"/>
      <c r="D686" s="5" t="n"/>
      <c r="E686" s="5" t="n"/>
      <c r="F686" s="5" t="n"/>
      <c r="G686" s="5" t="n"/>
    </row>
    <row r="687" ht="15.75" customHeight="1" s="17">
      <c r="A687" s="5" t="n"/>
      <c r="B687" s="5" t="n"/>
      <c r="C687" s="5" t="n"/>
      <c r="D687" s="5" t="n"/>
      <c r="E687" s="5" t="n"/>
      <c r="F687" s="5" t="n"/>
      <c r="G687" s="5" t="n"/>
    </row>
    <row r="688" ht="15.75" customHeight="1" s="17">
      <c r="A688" s="5" t="n"/>
      <c r="B688" s="5" t="n"/>
      <c r="C688" s="5" t="n"/>
      <c r="D688" s="5" t="n"/>
      <c r="E688" s="5" t="n"/>
      <c r="F688" s="5" t="n"/>
      <c r="G688" s="5" t="n"/>
    </row>
    <row r="689" ht="15.75" customHeight="1" s="17">
      <c r="A689" s="5" t="n"/>
      <c r="B689" s="5" t="n"/>
      <c r="C689" s="5" t="n"/>
      <c r="D689" s="5" t="n"/>
      <c r="E689" s="5" t="n"/>
      <c r="F689" s="5" t="n"/>
      <c r="G689" s="5" t="n"/>
    </row>
    <row r="690" ht="15.75" customHeight="1" s="17">
      <c r="A690" s="5" t="n"/>
      <c r="B690" s="5" t="n"/>
      <c r="C690" s="5" t="n"/>
      <c r="D690" s="5" t="n"/>
      <c r="E690" s="5" t="n"/>
      <c r="F690" s="5" t="n"/>
      <c r="G690" s="5" t="n"/>
    </row>
    <row r="691" ht="15.75" customHeight="1" s="17">
      <c r="A691" s="5" t="n"/>
      <c r="B691" s="5" t="n"/>
      <c r="C691" s="5" t="n"/>
      <c r="D691" s="5" t="n"/>
      <c r="E691" s="5" t="n"/>
      <c r="F691" s="5" t="n"/>
      <c r="G691" s="5" t="n"/>
    </row>
    <row r="692" ht="15.75" customHeight="1" s="17">
      <c r="A692" s="5" t="n"/>
      <c r="B692" s="5" t="n"/>
      <c r="C692" s="5" t="n"/>
      <c r="D692" s="5" t="n"/>
      <c r="E692" s="5" t="n"/>
      <c r="F692" s="5" t="n"/>
      <c r="G692" s="5" t="n"/>
    </row>
    <row r="693" ht="15.75" customHeight="1" s="17">
      <c r="A693" s="5" t="n"/>
      <c r="B693" s="5" t="n"/>
      <c r="C693" s="5" t="n"/>
      <c r="D693" s="5" t="n"/>
      <c r="E693" s="5" t="n"/>
      <c r="F693" s="5" t="n"/>
      <c r="G693" s="5" t="n"/>
    </row>
    <row r="694" ht="15.75" customHeight="1" s="17">
      <c r="A694" s="5" t="n"/>
      <c r="B694" s="5" t="n"/>
      <c r="C694" s="5" t="n"/>
      <c r="D694" s="5" t="n"/>
      <c r="E694" s="5" t="n"/>
      <c r="F694" s="5" t="n"/>
      <c r="G694" s="5" t="n"/>
    </row>
    <row r="695" ht="15.75" customHeight="1" s="17">
      <c r="A695" s="5" t="n"/>
      <c r="B695" s="5" t="n"/>
      <c r="C695" s="5" t="n"/>
      <c r="D695" s="5" t="n"/>
      <c r="E695" s="5" t="n"/>
      <c r="F695" s="5" t="n"/>
      <c r="G695" s="5" t="n"/>
    </row>
    <row r="696" ht="15.75" customHeight="1" s="17">
      <c r="A696" s="5" t="n"/>
      <c r="B696" s="5" t="n"/>
      <c r="C696" s="5" t="n"/>
      <c r="D696" s="5" t="n"/>
      <c r="E696" s="5" t="n"/>
      <c r="F696" s="5" t="n"/>
      <c r="G696" s="5" t="n"/>
    </row>
    <row r="697" ht="15.75" customHeight="1" s="17">
      <c r="A697" s="5" t="n"/>
      <c r="B697" s="5" t="n"/>
      <c r="C697" s="5" t="n"/>
      <c r="D697" s="5" t="n"/>
      <c r="E697" s="5" t="n"/>
      <c r="F697" s="5" t="n"/>
      <c r="G697" s="5" t="n"/>
    </row>
    <row r="698" ht="15.75" customHeight="1" s="17">
      <c r="A698" s="5" t="n"/>
      <c r="B698" s="5" t="n"/>
      <c r="C698" s="5" t="n"/>
      <c r="D698" s="5" t="n"/>
      <c r="E698" s="5" t="n"/>
      <c r="F698" s="5" t="n"/>
      <c r="G698" s="5" t="n"/>
    </row>
    <row r="699" ht="15.75" customHeight="1" s="17">
      <c r="A699" s="5" t="n"/>
      <c r="B699" s="5" t="n"/>
      <c r="C699" s="5" t="n"/>
      <c r="D699" s="5" t="n"/>
      <c r="E699" s="5" t="n"/>
      <c r="F699" s="5" t="n"/>
      <c r="G699" s="5" t="n"/>
    </row>
    <row r="700" ht="15.75" customHeight="1" s="17">
      <c r="A700" s="5" t="n"/>
      <c r="B700" s="5" t="n"/>
      <c r="C700" s="5" t="n"/>
      <c r="D700" s="5" t="n"/>
      <c r="E700" s="5" t="n"/>
      <c r="F700" s="5" t="n"/>
      <c r="G700" s="5" t="n"/>
    </row>
    <row r="701" ht="15.75" customHeight="1" s="17">
      <c r="A701" s="5" t="n"/>
      <c r="B701" s="5" t="n"/>
      <c r="C701" s="5" t="n"/>
      <c r="D701" s="5" t="n"/>
      <c r="E701" s="5" t="n"/>
      <c r="F701" s="5" t="n"/>
      <c r="G701" s="5" t="n"/>
    </row>
    <row r="702" ht="15.75" customHeight="1" s="17">
      <c r="A702" s="5" t="n"/>
      <c r="B702" s="5" t="n"/>
      <c r="C702" s="5" t="n"/>
      <c r="D702" s="5" t="n"/>
      <c r="E702" s="5" t="n"/>
      <c r="F702" s="5" t="n"/>
      <c r="G702" s="5" t="n"/>
    </row>
    <row r="703" ht="15.75" customHeight="1" s="17">
      <c r="A703" s="5" t="n"/>
      <c r="B703" s="5" t="n"/>
      <c r="C703" s="5" t="n"/>
      <c r="D703" s="5" t="n"/>
      <c r="E703" s="5" t="n"/>
      <c r="F703" s="5" t="n"/>
      <c r="G703" s="5" t="n"/>
    </row>
    <row r="704" ht="15.75" customHeight="1" s="17">
      <c r="A704" s="5" t="n"/>
      <c r="B704" s="5" t="n"/>
      <c r="C704" s="5" t="n"/>
      <c r="D704" s="5" t="n"/>
      <c r="E704" s="5" t="n"/>
      <c r="F704" s="5" t="n"/>
      <c r="G704" s="5" t="n"/>
    </row>
    <row r="705" ht="15.75" customHeight="1" s="17">
      <c r="A705" s="5" t="n"/>
      <c r="B705" s="5" t="n"/>
      <c r="C705" s="5" t="n"/>
      <c r="D705" s="5" t="n"/>
      <c r="E705" s="5" t="n"/>
      <c r="F705" s="5" t="n"/>
      <c r="G705" s="5" t="n"/>
    </row>
    <row r="706" ht="15.75" customHeight="1" s="17">
      <c r="A706" s="5" t="n"/>
      <c r="B706" s="5" t="n"/>
      <c r="C706" s="5" t="n"/>
      <c r="D706" s="5" t="n"/>
      <c r="E706" s="5" t="n"/>
      <c r="F706" s="5" t="n"/>
      <c r="G706" s="5" t="n"/>
    </row>
    <row r="707" ht="15.75" customHeight="1" s="17">
      <c r="A707" s="5" t="n"/>
      <c r="B707" s="5" t="n"/>
      <c r="C707" s="5" t="n"/>
      <c r="D707" s="5" t="n"/>
      <c r="E707" s="5" t="n"/>
      <c r="F707" s="5" t="n"/>
      <c r="G707" s="5" t="n"/>
    </row>
    <row r="708" ht="15.75" customHeight="1" s="17">
      <c r="A708" s="5" t="n"/>
      <c r="B708" s="5" t="n"/>
      <c r="C708" s="5" t="n"/>
      <c r="D708" s="5" t="n"/>
      <c r="E708" s="5" t="n"/>
      <c r="F708" s="5" t="n"/>
      <c r="G708" s="5" t="n"/>
    </row>
    <row r="709" ht="15.75" customHeight="1" s="17">
      <c r="A709" s="5" t="n"/>
      <c r="B709" s="5" t="n"/>
      <c r="C709" s="5" t="n"/>
      <c r="D709" s="5" t="n"/>
      <c r="E709" s="5" t="n"/>
      <c r="F709" s="5" t="n"/>
      <c r="G709" s="5" t="n"/>
    </row>
    <row r="710" ht="15.75" customHeight="1" s="17">
      <c r="A710" s="5" t="n"/>
      <c r="B710" s="5" t="n"/>
      <c r="C710" s="5" t="n"/>
      <c r="D710" s="5" t="n"/>
      <c r="E710" s="5" t="n"/>
      <c r="F710" s="5" t="n"/>
      <c r="G710" s="5" t="n"/>
    </row>
    <row r="711" ht="15.75" customHeight="1" s="17">
      <c r="A711" s="5" t="n"/>
      <c r="B711" s="5" t="n"/>
      <c r="C711" s="5" t="n"/>
      <c r="D711" s="5" t="n"/>
      <c r="E711" s="5" t="n"/>
      <c r="F711" s="5" t="n"/>
      <c r="G711" s="5" t="n"/>
    </row>
    <row r="712" ht="15.75" customHeight="1" s="17">
      <c r="A712" s="5" t="n"/>
      <c r="B712" s="5" t="n"/>
      <c r="C712" s="5" t="n"/>
      <c r="D712" s="5" t="n"/>
      <c r="E712" s="5" t="n"/>
      <c r="F712" s="5" t="n"/>
      <c r="G712" s="5" t="n"/>
    </row>
    <row r="713" ht="15.75" customHeight="1" s="17">
      <c r="A713" s="5" t="n"/>
      <c r="B713" s="5" t="n"/>
      <c r="C713" s="5" t="n"/>
      <c r="D713" s="5" t="n"/>
      <c r="E713" s="5" t="n"/>
      <c r="F713" s="5" t="n"/>
      <c r="G713" s="5" t="n"/>
    </row>
    <row r="714" ht="15.75" customHeight="1" s="17">
      <c r="A714" s="5" t="n"/>
      <c r="B714" s="5" t="n"/>
      <c r="C714" s="5" t="n"/>
      <c r="D714" s="5" t="n"/>
      <c r="E714" s="5" t="n"/>
      <c r="F714" s="5" t="n"/>
      <c r="G714" s="5" t="n"/>
    </row>
    <row r="715" ht="15.75" customHeight="1" s="17">
      <c r="A715" s="5" t="n"/>
      <c r="B715" s="5" t="n"/>
      <c r="C715" s="5" t="n"/>
      <c r="D715" s="5" t="n"/>
      <c r="E715" s="5" t="n"/>
      <c r="F715" s="5" t="n"/>
      <c r="G715" s="5" t="n"/>
    </row>
    <row r="716" ht="15.75" customHeight="1" s="17">
      <c r="A716" s="5" t="n"/>
      <c r="B716" s="5" t="n"/>
      <c r="C716" s="5" t="n"/>
      <c r="D716" s="5" t="n"/>
      <c r="E716" s="5" t="n"/>
      <c r="F716" s="5" t="n"/>
      <c r="G716" s="5" t="n"/>
    </row>
    <row r="717" ht="15.75" customHeight="1" s="17">
      <c r="A717" s="5" t="n"/>
      <c r="B717" s="5" t="n"/>
      <c r="C717" s="5" t="n"/>
      <c r="D717" s="5" t="n"/>
      <c r="E717" s="5" t="n"/>
      <c r="F717" s="5" t="n"/>
      <c r="G717" s="5" t="n"/>
    </row>
    <row r="718" ht="15.75" customHeight="1" s="17">
      <c r="A718" s="5" t="n"/>
      <c r="B718" s="5" t="n"/>
      <c r="C718" s="5" t="n"/>
      <c r="D718" s="5" t="n"/>
      <c r="E718" s="5" t="n"/>
      <c r="F718" s="5" t="n"/>
      <c r="G718" s="5" t="n"/>
    </row>
    <row r="719" ht="15.75" customHeight="1" s="17">
      <c r="A719" s="5" t="n"/>
      <c r="B719" s="5" t="n"/>
      <c r="C719" s="5" t="n"/>
      <c r="D719" s="5" t="n"/>
      <c r="E719" s="5" t="n"/>
      <c r="F719" s="5" t="n"/>
      <c r="G719" s="5" t="n"/>
    </row>
    <row r="720" ht="15.75" customHeight="1" s="17">
      <c r="A720" s="5" t="n"/>
      <c r="B720" s="5" t="n"/>
      <c r="C720" s="5" t="n"/>
      <c r="D720" s="5" t="n"/>
      <c r="E720" s="5" t="n"/>
      <c r="F720" s="5" t="n"/>
      <c r="G720" s="5" t="n"/>
    </row>
    <row r="721" ht="15.75" customHeight="1" s="17">
      <c r="A721" s="5" t="n"/>
      <c r="B721" s="5" t="n"/>
      <c r="C721" s="5" t="n"/>
      <c r="D721" s="5" t="n"/>
      <c r="E721" s="5" t="n"/>
      <c r="F721" s="5" t="n"/>
      <c r="G721" s="5" t="n"/>
    </row>
    <row r="722" ht="15.75" customHeight="1" s="17">
      <c r="A722" s="5" t="n"/>
      <c r="B722" s="5" t="n"/>
      <c r="C722" s="5" t="n"/>
      <c r="D722" s="5" t="n"/>
      <c r="E722" s="5" t="n"/>
      <c r="F722" s="5" t="n"/>
      <c r="G722" s="5" t="n"/>
    </row>
    <row r="723" ht="15.75" customHeight="1" s="17">
      <c r="A723" s="5" t="n"/>
      <c r="B723" s="5" t="n"/>
      <c r="C723" s="5" t="n"/>
      <c r="D723" s="5" t="n"/>
      <c r="E723" s="5" t="n"/>
      <c r="F723" s="5" t="n"/>
      <c r="G723" s="5" t="n"/>
    </row>
    <row r="724" ht="15.75" customHeight="1" s="17">
      <c r="A724" s="5" t="n"/>
      <c r="B724" s="5" t="n"/>
      <c r="C724" s="5" t="n"/>
      <c r="D724" s="5" t="n"/>
      <c r="E724" s="5" t="n"/>
      <c r="F724" s="5" t="n"/>
      <c r="G724" s="5" t="n"/>
    </row>
    <row r="725" ht="15.75" customHeight="1" s="17">
      <c r="A725" s="5" t="n"/>
      <c r="B725" s="5" t="n"/>
      <c r="C725" s="5" t="n"/>
      <c r="D725" s="5" t="n"/>
      <c r="E725" s="5" t="n"/>
      <c r="F725" s="5" t="n"/>
      <c r="G725" s="5" t="n"/>
    </row>
    <row r="726" ht="15.75" customHeight="1" s="17">
      <c r="A726" s="5" t="n"/>
      <c r="B726" s="5" t="n"/>
      <c r="C726" s="5" t="n"/>
      <c r="D726" s="5" t="n"/>
      <c r="E726" s="5" t="n"/>
      <c r="F726" s="5" t="n"/>
      <c r="G726" s="5" t="n"/>
    </row>
    <row r="727" ht="15.75" customHeight="1" s="17">
      <c r="A727" s="5" t="n"/>
      <c r="B727" s="5" t="n"/>
      <c r="C727" s="5" t="n"/>
      <c r="D727" s="5" t="n"/>
      <c r="E727" s="5" t="n"/>
      <c r="F727" s="5" t="n"/>
      <c r="G727" s="5" t="n"/>
    </row>
    <row r="728" ht="15.75" customHeight="1" s="17">
      <c r="A728" s="5" t="n"/>
      <c r="B728" s="5" t="n"/>
      <c r="C728" s="5" t="n"/>
      <c r="D728" s="5" t="n"/>
      <c r="E728" s="5" t="n"/>
      <c r="F728" s="5" t="n"/>
      <c r="G728" s="5" t="n"/>
    </row>
    <row r="729" ht="15.75" customHeight="1" s="17">
      <c r="A729" s="5" t="n"/>
      <c r="B729" s="5" t="n"/>
      <c r="C729" s="5" t="n"/>
      <c r="D729" s="5" t="n"/>
      <c r="E729" s="5" t="n"/>
      <c r="F729" s="5" t="n"/>
      <c r="G729" s="5" t="n"/>
    </row>
    <row r="730" ht="15.75" customHeight="1" s="17">
      <c r="A730" s="5" t="n"/>
      <c r="B730" s="5" t="n"/>
      <c r="C730" s="5" t="n"/>
      <c r="D730" s="5" t="n"/>
      <c r="E730" s="5" t="n"/>
      <c r="F730" s="5" t="n"/>
      <c r="G730" s="5" t="n"/>
    </row>
    <row r="731" ht="15.75" customHeight="1" s="17">
      <c r="A731" s="5" t="n"/>
      <c r="B731" s="5" t="n"/>
      <c r="C731" s="5" t="n"/>
      <c r="D731" s="5" t="n"/>
      <c r="E731" s="5" t="n"/>
      <c r="F731" s="5" t="n"/>
      <c r="G731" s="5" t="n"/>
    </row>
    <row r="732" ht="15.75" customHeight="1" s="17">
      <c r="A732" s="5" t="n"/>
      <c r="B732" s="5" t="n"/>
      <c r="C732" s="5" t="n"/>
      <c r="D732" s="5" t="n"/>
      <c r="E732" s="5" t="n"/>
      <c r="F732" s="5" t="n"/>
      <c r="G732" s="5" t="n"/>
    </row>
    <row r="733" ht="15.75" customHeight="1" s="17">
      <c r="A733" s="5" t="n"/>
      <c r="B733" s="5" t="n"/>
      <c r="C733" s="5" t="n"/>
      <c r="D733" s="5" t="n"/>
      <c r="E733" s="5" t="n"/>
      <c r="F733" s="5" t="n"/>
      <c r="G733" s="5" t="n"/>
    </row>
    <row r="734" ht="15.75" customHeight="1" s="17">
      <c r="A734" s="5" t="n"/>
      <c r="B734" s="5" t="n"/>
      <c r="C734" s="5" t="n"/>
      <c r="D734" s="5" t="n"/>
      <c r="E734" s="5" t="n"/>
      <c r="F734" s="5" t="n"/>
      <c r="G734" s="5" t="n"/>
    </row>
    <row r="735" ht="15.75" customHeight="1" s="17">
      <c r="A735" s="5" t="n"/>
      <c r="B735" s="5" t="n"/>
      <c r="C735" s="5" t="n"/>
      <c r="D735" s="5" t="n"/>
      <c r="E735" s="5" t="n"/>
      <c r="F735" s="5" t="n"/>
      <c r="G735" s="5" t="n"/>
    </row>
    <row r="736" ht="15.75" customHeight="1" s="17">
      <c r="A736" s="5" t="n"/>
      <c r="B736" s="5" t="n"/>
      <c r="C736" s="5" t="n"/>
      <c r="D736" s="5" t="n"/>
      <c r="E736" s="5" t="n"/>
      <c r="F736" s="5" t="n"/>
      <c r="G736" s="5" t="n"/>
    </row>
    <row r="737" ht="15.75" customHeight="1" s="17">
      <c r="A737" s="5" t="n"/>
      <c r="B737" s="5" t="n"/>
      <c r="C737" s="5" t="n"/>
      <c r="D737" s="5" t="n"/>
      <c r="E737" s="5" t="n"/>
      <c r="F737" s="5" t="n"/>
      <c r="G737" s="5" t="n"/>
    </row>
    <row r="738" ht="15.75" customHeight="1" s="17">
      <c r="A738" s="5" t="n"/>
      <c r="B738" s="5" t="n"/>
      <c r="C738" s="5" t="n"/>
      <c r="D738" s="5" t="n"/>
      <c r="E738" s="5" t="n"/>
      <c r="F738" s="5" t="n"/>
      <c r="G738" s="5" t="n"/>
    </row>
    <row r="739" ht="15.75" customHeight="1" s="17">
      <c r="A739" s="5" t="n"/>
      <c r="B739" s="5" t="n"/>
      <c r="C739" s="5" t="n"/>
      <c r="D739" s="5" t="n"/>
      <c r="E739" s="5" t="n"/>
      <c r="F739" s="5" t="n"/>
      <c r="G739" s="5" t="n"/>
    </row>
    <row r="740" ht="15.75" customHeight="1" s="17">
      <c r="A740" s="5" t="n"/>
      <c r="B740" s="5" t="n"/>
      <c r="C740" s="5" t="n"/>
      <c r="D740" s="5" t="n"/>
      <c r="E740" s="5" t="n"/>
      <c r="F740" s="5" t="n"/>
      <c r="G740" s="5" t="n"/>
    </row>
    <row r="741" ht="15.75" customHeight="1" s="17">
      <c r="A741" s="5" t="n"/>
      <c r="B741" s="5" t="n"/>
      <c r="C741" s="5" t="n"/>
      <c r="D741" s="5" t="n"/>
      <c r="E741" s="5" t="n"/>
      <c r="F741" s="5" t="n"/>
      <c r="G741" s="5" t="n"/>
    </row>
    <row r="742" ht="15.75" customHeight="1" s="17">
      <c r="A742" s="5" t="n"/>
      <c r="B742" s="5" t="n"/>
      <c r="C742" s="5" t="n"/>
      <c r="D742" s="5" t="n"/>
      <c r="E742" s="5" t="n"/>
      <c r="F742" s="5" t="n"/>
      <c r="G742" s="5" t="n"/>
    </row>
    <row r="743" ht="15.75" customHeight="1" s="17">
      <c r="A743" s="5" t="n"/>
      <c r="B743" s="5" t="n"/>
      <c r="C743" s="5" t="n"/>
      <c r="D743" s="5" t="n"/>
      <c r="E743" s="5" t="n"/>
      <c r="F743" s="5" t="n"/>
      <c r="G743" s="5" t="n"/>
    </row>
    <row r="744" ht="15.75" customHeight="1" s="17">
      <c r="A744" s="5" t="n"/>
      <c r="B744" s="5" t="n"/>
      <c r="C744" s="5" t="n"/>
      <c r="D744" s="5" t="n"/>
      <c r="E744" s="5" t="n"/>
      <c r="F744" s="5" t="n"/>
      <c r="G744" s="5" t="n"/>
    </row>
    <row r="745" ht="15.75" customHeight="1" s="17">
      <c r="A745" s="5" t="n"/>
      <c r="B745" s="5" t="n"/>
      <c r="C745" s="5" t="n"/>
      <c r="D745" s="5" t="n"/>
      <c r="E745" s="5" t="n"/>
      <c r="F745" s="5" t="n"/>
      <c r="G745" s="5" t="n"/>
    </row>
    <row r="746" ht="15.75" customHeight="1" s="17">
      <c r="A746" s="5" t="n"/>
      <c r="B746" s="5" t="n"/>
      <c r="C746" s="5" t="n"/>
      <c r="D746" s="5" t="n"/>
      <c r="E746" s="5" t="n"/>
      <c r="F746" s="5" t="n"/>
      <c r="G746" s="5" t="n"/>
    </row>
    <row r="747" ht="15.75" customHeight="1" s="17">
      <c r="A747" s="5" t="n"/>
      <c r="B747" s="5" t="n"/>
      <c r="C747" s="5" t="n"/>
      <c r="D747" s="5" t="n"/>
      <c r="E747" s="5" t="n"/>
      <c r="F747" s="5" t="n"/>
      <c r="G747" s="5" t="n"/>
    </row>
    <row r="748" ht="15.75" customHeight="1" s="17">
      <c r="A748" s="5" t="n"/>
      <c r="B748" s="5" t="n"/>
      <c r="C748" s="5" t="n"/>
      <c r="D748" s="5" t="n"/>
      <c r="E748" s="5" t="n"/>
      <c r="F748" s="5" t="n"/>
      <c r="G748" s="5" t="n"/>
    </row>
    <row r="749" ht="15.75" customHeight="1" s="17">
      <c r="A749" s="5" t="n"/>
      <c r="B749" s="5" t="n"/>
      <c r="C749" s="5" t="n"/>
      <c r="D749" s="5" t="n"/>
      <c r="E749" s="5" t="n"/>
      <c r="F749" s="5" t="n"/>
      <c r="G749" s="5" t="n"/>
    </row>
    <row r="750" ht="15.75" customHeight="1" s="17">
      <c r="A750" s="5" t="n"/>
      <c r="B750" s="5" t="n"/>
      <c r="C750" s="5" t="n"/>
      <c r="D750" s="5" t="n"/>
      <c r="E750" s="5" t="n"/>
      <c r="F750" s="5" t="n"/>
      <c r="G750" s="5" t="n"/>
    </row>
    <row r="751" ht="15.75" customHeight="1" s="17">
      <c r="A751" s="5" t="n"/>
      <c r="B751" s="5" t="n"/>
      <c r="C751" s="5" t="n"/>
      <c r="D751" s="5" t="n"/>
      <c r="E751" s="5" t="n"/>
      <c r="F751" s="5" t="n"/>
      <c r="G751" s="5" t="n"/>
    </row>
    <row r="752" ht="15.75" customHeight="1" s="17">
      <c r="A752" s="5" t="n"/>
      <c r="B752" s="5" t="n"/>
      <c r="C752" s="5" t="n"/>
      <c r="D752" s="5" t="n"/>
      <c r="E752" s="5" t="n"/>
      <c r="F752" s="5" t="n"/>
      <c r="G752" s="5" t="n"/>
    </row>
    <row r="753" ht="15.75" customHeight="1" s="17">
      <c r="A753" s="5" t="n"/>
      <c r="B753" s="5" t="n"/>
      <c r="C753" s="5" t="n"/>
      <c r="D753" s="5" t="n"/>
      <c r="E753" s="5" t="n"/>
      <c r="F753" s="5" t="n"/>
      <c r="G753" s="5" t="n"/>
    </row>
    <row r="754" ht="15.75" customHeight="1" s="17">
      <c r="A754" s="5" t="n"/>
      <c r="B754" s="5" t="n"/>
      <c r="C754" s="5" t="n"/>
      <c r="D754" s="5" t="n"/>
      <c r="E754" s="5" t="n"/>
      <c r="F754" s="5" t="n"/>
      <c r="G754" s="5" t="n"/>
    </row>
    <row r="755" ht="15.75" customHeight="1" s="17">
      <c r="A755" s="5" t="n"/>
      <c r="B755" s="5" t="n"/>
      <c r="C755" s="5" t="n"/>
      <c r="D755" s="5" t="n"/>
      <c r="E755" s="5" t="n"/>
      <c r="F755" s="5" t="n"/>
      <c r="G755" s="5" t="n"/>
    </row>
    <row r="756" ht="15.75" customHeight="1" s="17">
      <c r="A756" s="5" t="n"/>
      <c r="B756" s="5" t="n"/>
      <c r="C756" s="5" t="n"/>
      <c r="D756" s="5" t="n"/>
      <c r="E756" s="5" t="n"/>
      <c r="F756" s="5" t="n"/>
      <c r="G756" s="5" t="n"/>
    </row>
    <row r="757" ht="15.75" customHeight="1" s="17">
      <c r="A757" s="5" t="n"/>
      <c r="B757" s="5" t="n"/>
      <c r="C757" s="5" t="n"/>
      <c r="D757" s="5" t="n"/>
      <c r="E757" s="5" t="n"/>
      <c r="F757" s="5" t="n"/>
      <c r="G757" s="5" t="n"/>
    </row>
    <row r="758" ht="15.75" customHeight="1" s="17">
      <c r="A758" s="5" t="n"/>
      <c r="B758" s="5" t="n"/>
      <c r="C758" s="5" t="n"/>
      <c r="D758" s="5" t="n"/>
      <c r="E758" s="5" t="n"/>
      <c r="F758" s="5" t="n"/>
      <c r="G758" s="5" t="n"/>
    </row>
    <row r="759" ht="15.75" customHeight="1" s="17">
      <c r="A759" s="5" t="n"/>
      <c r="B759" s="5" t="n"/>
      <c r="C759" s="5" t="n"/>
      <c r="D759" s="5" t="n"/>
      <c r="E759" s="5" t="n"/>
      <c r="F759" s="5" t="n"/>
      <c r="G759" s="5" t="n"/>
    </row>
    <row r="760" ht="15.75" customHeight="1" s="17">
      <c r="A760" s="5" t="n"/>
      <c r="B760" s="5" t="n"/>
      <c r="C760" s="5" t="n"/>
      <c r="D760" s="5" t="n"/>
      <c r="E760" s="5" t="n"/>
      <c r="F760" s="5" t="n"/>
      <c r="G760" s="5" t="n"/>
    </row>
    <row r="761" ht="15.75" customHeight="1" s="17">
      <c r="A761" s="5" t="n"/>
      <c r="B761" s="5" t="n"/>
      <c r="C761" s="5" t="n"/>
      <c r="D761" s="5" t="n"/>
      <c r="E761" s="5" t="n"/>
      <c r="F761" s="5" t="n"/>
      <c r="G761" s="5" t="n"/>
    </row>
    <row r="762" ht="15.75" customHeight="1" s="17">
      <c r="A762" s="5" t="n"/>
      <c r="B762" s="5" t="n"/>
      <c r="C762" s="5" t="n"/>
      <c r="D762" s="5" t="n"/>
      <c r="E762" s="5" t="n"/>
      <c r="F762" s="5" t="n"/>
      <c r="G762" s="5" t="n"/>
    </row>
    <row r="763" ht="15.75" customHeight="1" s="17">
      <c r="A763" s="5" t="n"/>
      <c r="B763" s="5" t="n"/>
      <c r="C763" s="5" t="n"/>
      <c r="D763" s="5" t="n"/>
      <c r="E763" s="5" t="n"/>
      <c r="F763" s="5" t="n"/>
      <c r="G763" s="5" t="n"/>
    </row>
    <row r="764" ht="15.75" customHeight="1" s="17">
      <c r="A764" s="5" t="n"/>
      <c r="B764" s="5" t="n"/>
      <c r="C764" s="5" t="n"/>
      <c r="D764" s="5" t="n"/>
      <c r="E764" s="5" t="n"/>
      <c r="F764" s="5" t="n"/>
      <c r="G764" s="5" t="n"/>
    </row>
    <row r="765" ht="15.75" customHeight="1" s="17">
      <c r="A765" s="5" t="n"/>
      <c r="B765" s="5" t="n"/>
      <c r="C765" s="5" t="n"/>
      <c r="D765" s="5" t="n"/>
      <c r="E765" s="5" t="n"/>
      <c r="F765" s="5" t="n"/>
      <c r="G765" s="5" t="n"/>
    </row>
    <row r="766" ht="15.75" customHeight="1" s="17">
      <c r="A766" s="5" t="n"/>
      <c r="B766" s="5" t="n"/>
      <c r="C766" s="5" t="n"/>
      <c r="D766" s="5" t="n"/>
      <c r="E766" s="5" t="n"/>
      <c r="F766" s="5" t="n"/>
      <c r="G766" s="5" t="n"/>
    </row>
    <row r="767" ht="15.75" customHeight="1" s="17">
      <c r="A767" s="5" t="n"/>
      <c r="B767" s="5" t="n"/>
      <c r="C767" s="5" t="n"/>
      <c r="D767" s="5" t="n"/>
      <c r="E767" s="5" t="n"/>
      <c r="F767" s="5" t="n"/>
      <c r="G767" s="5" t="n"/>
    </row>
    <row r="768" ht="15.75" customHeight="1" s="17">
      <c r="A768" s="5" t="n"/>
      <c r="B768" s="5" t="n"/>
      <c r="C768" s="5" t="n"/>
      <c r="D768" s="5" t="n"/>
      <c r="E768" s="5" t="n"/>
      <c r="F768" s="5" t="n"/>
      <c r="G768" s="5" t="n"/>
    </row>
    <row r="769" ht="15.75" customHeight="1" s="17">
      <c r="A769" s="5" t="n"/>
      <c r="B769" s="5" t="n"/>
      <c r="C769" s="5" t="n"/>
      <c r="D769" s="5" t="n"/>
      <c r="E769" s="5" t="n"/>
      <c r="F769" s="5" t="n"/>
      <c r="G769" s="5" t="n"/>
    </row>
    <row r="770" ht="15.75" customHeight="1" s="17">
      <c r="A770" s="5" t="n"/>
      <c r="B770" s="5" t="n"/>
      <c r="C770" s="5" t="n"/>
      <c r="D770" s="5" t="n"/>
      <c r="E770" s="5" t="n"/>
      <c r="F770" s="5" t="n"/>
      <c r="G770" s="5" t="n"/>
    </row>
    <row r="771" ht="15.75" customHeight="1" s="17">
      <c r="A771" s="5" t="n"/>
      <c r="B771" s="5" t="n"/>
      <c r="C771" s="5" t="n"/>
      <c r="D771" s="5" t="n"/>
      <c r="E771" s="5" t="n"/>
      <c r="F771" s="5" t="n"/>
      <c r="G771" s="5" t="n"/>
    </row>
    <row r="772" ht="15.75" customHeight="1" s="17">
      <c r="A772" s="5" t="n"/>
      <c r="B772" s="5" t="n"/>
      <c r="C772" s="5" t="n"/>
      <c r="D772" s="5" t="n"/>
      <c r="E772" s="5" t="n"/>
      <c r="F772" s="5" t="n"/>
      <c r="G772" s="5" t="n"/>
    </row>
    <row r="773" ht="15.75" customHeight="1" s="17">
      <c r="A773" s="5" t="n"/>
      <c r="B773" s="5" t="n"/>
      <c r="C773" s="5" t="n"/>
      <c r="D773" s="5" t="n"/>
      <c r="E773" s="5" t="n"/>
      <c r="F773" s="5" t="n"/>
      <c r="G773" s="5" t="n"/>
    </row>
    <row r="774" ht="15.75" customHeight="1" s="17">
      <c r="A774" s="5" t="n"/>
      <c r="B774" s="5" t="n"/>
      <c r="C774" s="5" t="n"/>
      <c r="D774" s="5" t="n"/>
      <c r="E774" s="5" t="n"/>
      <c r="F774" s="5" t="n"/>
      <c r="G774" s="5" t="n"/>
    </row>
    <row r="775" ht="15.75" customHeight="1" s="17">
      <c r="A775" s="5" t="n"/>
      <c r="B775" s="5" t="n"/>
      <c r="C775" s="5" t="n"/>
      <c r="D775" s="5" t="n"/>
      <c r="E775" s="5" t="n"/>
      <c r="F775" s="5" t="n"/>
      <c r="G775" s="5" t="n"/>
    </row>
    <row r="776" ht="15.75" customHeight="1" s="17">
      <c r="A776" s="5" t="n"/>
      <c r="B776" s="5" t="n"/>
      <c r="C776" s="5" t="n"/>
      <c r="D776" s="5" t="n"/>
      <c r="E776" s="5" t="n"/>
      <c r="F776" s="5" t="n"/>
      <c r="G776" s="5" t="n"/>
    </row>
    <row r="777" ht="15.75" customHeight="1" s="17">
      <c r="A777" s="5" t="n"/>
      <c r="B777" s="5" t="n"/>
      <c r="C777" s="5" t="n"/>
      <c r="D777" s="5" t="n"/>
      <c r="E777" s="5" t="n"/>
      <c r="F777" s="5" t="n"/>
      <c r="G777" s="5" t="n"/>
    </row>
    <row r="778" ht="15.75" customHeight="1" s="17">
      <c r="A778" s="5" t="n"/>
      <c r="B778" s="5" t="n"/>
      <c r="C778" s="5" t="n"/>
      <c r="D778" s="5" t="n"/>
      <c r="E778" s="5" t="n"/>
      <c r="F778" s="5" t="n"/>
      <c r="G778" s="5" t="n"/>
    </row>
    <row r="779" ht="15.75" customHeight="1" s="17">
      <c r="A779" s="5" t="n"/>
      <c r="B779" s="5" t="n"/>
      <c r="C779" s="5" t="n"/>
      <c r="D779" s="5" t="n"/>
      <c r="E779" s="5" t="n"/>
      <c r="F779" s="5" t="n"/>
      <c r="G779" s="5" t="n"/>
    </row>
    <row r="780" ht="15.75" customHeight="1" s="17">
      <c r="A780" s="5" t="n"/>
      <c r="B780" s="5" t="n"/>
      <c r="C780" s="5" t="n"/>
      <c r="D780" s="5" t="n"/>
      <c r="E780" s="5" t="n"/>
      <c r="F780" s="5" t="n"/>
      <c r="G780" s="5" t="n"/>
    </row>
    <row r="781" ht="15.75" customHeight="1" s="17">
      <c r="A781" s="5" t="n"/>
      <c r="B781" s="5" t="n"/>
      <c r="C781" s="5" t="n"/>
      <c r="D781" s="5" t="n"/>
      <c r="E781" s="5" t="n"/>
      <c r="F781" s="5" t="n"/>
      <c r="G781" s="5" t="n"/>
    </row>
    <row r="782" ht="15.75" customHeight="1" s="17">
      <c r="A782" s="5" t="n"/>
      <c r="B782" s="5" t="n"/>
      <c r="C782" s="5" t="n"/>
      <c r="D782" s="5" t="n"/>
      <c r="E782" s="5" t="n"/>
      <c r="F782" s="5" t="n"/>
      <c r="G782" s="5" t="n"/>
    </row>
    <row r="783" ht="15.75" customHeight="1" s="17">
      <c r="A783" s="5" t="n"/>
      <c r="B783" s="5" t="n"/>
      <c r="C783" s="5" t="n"/>
      <c r="D783" s="5" t="n"/>
      <c r="E783" s="5" t="n"/>
      <c r="F783" s="5" t="n"/>
      <c r="G783" s="5" t="n"/>
    </row>
    <row r="784" ht="15.75" customHeight="1" s="17">
      <c r="A784" s="5" t="n"/>
      <c r="B784" s="5" t="n"/>
      <c r="C784" s="5" t="n"/>
      <c r="D784" s="5" t="n"/>
      <c r="E784" s="5" t="n"/>
      <c r="F784" s="5" t="n"/>
      <c r="G784" s="5" t="n"/>
    </row>
    <row r="785" ht="15.75" customHeight="1" s="17">
      <c r="A785" s="5" t="n"/>
      <c r="B785" s="5" t="n"/>
      <c r="C785" s="5" t="n"/>
      <c r="D785" s="5" t="n"/>
      <c r="E785" s="5" t="n"/>
      <c r="F785" s="5" t="n"/>
      <c r="G785" s="5" t="n"/>
    </row>
    <row r="786" ht="15.75" customHeight="1" s="17">
      <c r="A786" s="5" t="n"/>
      <c r="B786" s="5" t="n"/>
      <c r="C786" s="5" t="n"/>
      <c r="D786" s="5" t="n"/>
      <c r="E786" s="5" t="n"/>
      <c r="F786" s="5" t="n"/>
      <c r="G786" s="5" t="n"/>
    </row>
    <row r="787" ht="15.75" customHeight="1" s="17">
      <c r="A787" s="5" t="n"/>
      <c r="B787" s="5" t="n"/>
      <c r="C787" s="5" t="n"/>
      <c r="D787" s="5" t="n"/>
      <c r="E787" s="5" t="n"/>
      <c r="F787" s="5" t="n"/>
      <c r="G787" s="5" t="n"/>
    </row>
    <row r="788" ht="15.75" customHeight="1" s="17">
      <c r="A788" s="5" t="n"/>
      <c r="B788" s="5" t="n"/>
      <c r="C788" s="5" t="n"/>
      <c r="D788" s="5" t="n"/>
      <c r="E788" s="5" t="n"/>
      <c r="F788" s="5" t="n"/>
      <c r="G788" s="5" t="n"/>
    </row>
    <row r="789" ht="15.75" customHeight="1" s="17">
      <c r="A789" s="5" t="n"/>
      <c r="B789" s="5" t="n"/>
      <c r="C789" s="5" t="n"/>
      <c r="D789" s="5" t="n"/>
      <c r="E789" s="5" t="n"/>
      <c r="F789" s="5" t="n"/>
      <c r="G789" s="5" t="n"/>
    </row>
    <row r="790" ht="15.75" customHeight="1" s="17">
      <c r="A790" s="5" t="n"/>
      <c r="B790" s="5" t="n"/>
      <c r="C790" s="5" t="n"/>
      <c r="D790" s="5" t="n"/>
      <c r="E790" s="5" t="n"/>
      <c r="F790" s="5" t="n"/>
      <c r="G790" s="5" t="n"/>
    </row>
    <row r="791" ht="15.75" customHeight="1" s="17">
      <c r="A791" s="5" t="n"/>
      <c r="B791" s="5" t="n"/>
      <c r="C791" s="5" t="n"/>
      <c r="D791" s="5" t="n"/>
      <c r="E791" s="5" t="n"/>
      <c r="F791" s="5" t="n"/>
      <c r="G791" s="5" t="n"/>
    </row>
    <row r="792" ht="15.75" customHeight="1" s="17">
      <c r="A792" s="5" t="n"/>
      <c r="B792" s="5" t="n"/>
      <c r="C792" s="5" t="n"/>
      <c r="D792" s="5" t="n"/>
      <c r="E792" s="5" t="n"/>
      <c r="F792" s="5" t="n"/>
      <c r="G792" s="5" t="n"/>
    </row>
    <row r="793" ht="15.75" customHeight="1" s="17">
      <c r="A793" s="5" t="n"/>
      <c r="B793" s="5" t="n"/>
      <c r="C793" s="5" t="n"/>
      <c r="D793" s="5" t="n"/>
      <c r="E793" s="5" t="n"/>
      <c r="F793" s="5" t="n"/>
      <c r="G793" s="5" t="n"/>
    </row>
    <row r="794" ht="15.75" customHeight="1" s="17">
      <c r="A794" s="5" t="n"/>
      <c r="B794" s="5" t="n"/>
      <c r="C794" s="5" t="n"/>
      <c r="D794" s="5" t="n"/>
      <c r="E794" s="5" t="n"/>
      <c r="F794" s="5" t="n"/>
      <c r="G794" s="5" t="n"/>
    </row>
    <row r="795" ht="15.75" customHeight="1" s="17">
      <c r="A795" s="5" t="n"/>
      <c r="B795" s="5" t="n"/>
      <c r="C795" s="5" t="n"/>
      <c r="D795" s="5" t="n"/>
      <c r="E795" s="5" t="n"/>
      <c r="F795" s="5" t="n"/>
      <c r="G795" s="5" t="n"/>
    </row>
    <row r="796" ht="15.75" customHeight="1" s="17">
      <c r="A796" s="5" t="n"/>
      <c r="B796" s="5" t="n"/>
      <c r="C796" s="5" t="n"/>
      <c r="D796" s="5" t="n"/>
      <c r="E796" s="5" t="n"/>
      <c r="F796" s="5" t="n"/>
      <c r="G796" s="5" t="n"/>
    </row>
    <row r="797" ht="15.75" customHeight="1" s="17">
      <c r="A797" s="5" t="n"/>
      <c r="B797" s="5" t="n"/>
      <c r="C797" s="5" t="n"/>
      <c r="D797" s="5" t="n"/>
      <c r="E797" s="5" t="n"/>
      <c r="F797" s="5" t="n"/>
      <c r="G797" s="5" t="n"/>
    </row>
    <row r="798" ht="15.75" customHeight="1" s="17">
      <c r="A798" s="5" t="n"/>
      <c r="B798" s="5" t="n"/>
      <c r="C798" s="5" t="n"/>
      <c r="D798" s="5" t="n"/>
      <c r="E798" s="5" t="n"/>
      <c r="F798" s="5" t="n"/>
      <c r="G798" s="5" t="n"/>
    </row>
    <row r="799" ht="15.75" customHeight="1" s="17">
      <c r="A799" s="5" t="n"/>
      <c r="B799" s="5" t="n"/>
      <c r="C799" s="5" t="n"/>
      <c r="D799" s="5" t="n"/>
      <c r="E799" s="5" t="n"/>
      <c r="F799" s="5" t="n"/>
      <c r="G799" s="5" t="n"/>
    </row>
    <row r="800" ht="15.75" customHeight="1" s="17">
      <c r="A800" s="5" t="n"/>
      <c r="B800" s="5" t="n"/>
      <c r="C800" s="5" t="n"/>
      <c r="D800" s="5" t="n"/>
      <c r="E800" s="5" t="n"/>
      <c r="F800" s="5" t="n"/>
      <c r="G800" s="5" t="n"/>
    </row>
    <row r="801" ht="15.75" customHeight="1" s="17">
      <c r="A801" s="5" t="n"/>
      <c r="B801" s="5" t="n"/>
      <c r="C801" s="5" t="n"/>
      <c r="D801" s="5" t="n"/>
      <c r="E801" s="5" t="n"/>
      <c r="F801" s="5" t="n"/>
      <c r="G801" s="5" t="n"/>
    </row>
    <row r="802" ht="15.75" customHeight="1" s="17">
      <c r="A802" s="5" t="n"/>
      <c r="B802" s="5" t="n"/>
      <c r="C802" s="5" t="n"/>
      <c r="D802" s="5" t="n"/>
      <c r="E802" s="5" t="n"/>
      <c r="F802" s="5" t="n"/>
      <c r="G802" s="5" t="n"/>
    </row>
    <row r="803" ht="15.75" customHeight="1" s="17">
      <c r="A803" s="5" t="n"/>
      <c r="B803" s="5" t="n"/>
      <c r="C803" s="5" t="n"/>
      <c r="D803" s="5" t="n"/>
      <c r="E803" s="5" t="n"/>
      <c r="F803" s="5" t="n"/>
      <c r="G803" s="5" t="n"/>
    </row>
    <row r="804" ht="15.75" customHeight="1" s="17">
      <c r="A804" s="5" t="n"/>
      <c r="B804" s="5" t="n"/>
      <c r="C804" s="5" t="n"/>
      <c r="D804" s="5" t="n"/>
      <c r="E804" s="5" t="n"/>
      <c r="F804" s="5" t="n"/>
      <c r="G804" s="5" t="n"/>
    </row>
    <row r="805" ht="15.75" customHeight="1" s="17">
      <c r="A805" s="5" t="n"/>
      <c r="B805" s="5" t="n"/>
      <c r="C805" s="5" t="n"/>
      <c r="D805" s="5" t="n"/>
      <c r="E805" s="5" t="n"/>
      <c r="F805" s="5" t="n"/>
      <c r="G805" s="5" t="n"/>
    </row>
    <row r="806" ht="15.75" customHeight="1" s="17">
      <c r="A806" s="5" t="n"/>
      <c r="B806" s="5" t="n"/>
      <c r="C806" s="5" t="n"/>
      <c r="D806" s="5" t="n"/>
      <c r="E806" s="5" t="n"/>
      <c r="F806" s="5" t="n"/>
      <c r="G806" s="5" t="n"/>
    </row>
    <row r="807" ht="15.75" customHeight="1" s="17">
      <c r="A807" s="5" t="n"/>
      <c r="B807" s="5" t="n"/>
      <c r="C807" s="5" t="n"/>
      <c r="D807" s="5" t="n"/>
      <c r="E807" s="5" t="n"/>
      <c r="F807" s="5" t="n"/>
      <c r="G807" s="5" t="n"/>
    </row>
    <row r="808" ht="15.75" customHeight="1" s="17">
      <c r="A808" s="5" t="n"/>
      <c r="B808" s="5" t="n"/>
      <c r="C808" s="5" t="n"/>
      <c r="D808" s="5" t="n"/>
      <c r="E808" s="5" t="n"/>
      <c r="F808" s="5" t="n"/>
      <c r="G808" s="5" t="n"/>
    </row>
    <row r="809" ht="15.75" customHeight="1" s="17">
      <c r="A809" s="5" t="n"/>
      <c r="B809" s="5" t="n"/>
      <c r="C809" s="5" t="n"/>
      <c r="D809" s="5" t="n"/>
      <c r="E809" s="5" t="n"/>
      <c r="F809" s="5" t="n"/>
      <c r="G809" s="5" t="n"/>
    </row>
    <row r="810" ht="15.75" customHeight="1" s="17">
      <c r="A810" s="5" t="n"/>
      <c r="B810" s="5" t="n"/>
      <c r="C810" s="5" t="n"/>
      <c r="D810" s="5" t="n"/>
      <c r="E810" s="5" t="n"/>
      <c r="F810" s="5" t="n"/>
      <c r="G810" s="5" t="n"/>
    </row>
    <row r="811" ht="15.75" customHeight="1" s="17">
      <c r="A811" s="5" t="n"/>
      <c r="B811" s="5" t="n"/>
      <c r="C811" s="5" t="n"/>
      <c r="D811" s="5" t="n"/>
      <c r="E811" s="5" t="n"/>
      <c r="F811" s="5" t="n"/>
      <c r="G811" s="5" t="n"/>
    </row>
    <row r="812" ht="15.75" customHeight="1" s="17">
      <c r="A812" s="5" t="n"/>
      <c r="B812" s="5" t="n"/>
      <c r="C812" s="5" t="n"/>
      <c r="D812" s="5" t="n"/>
      <c r="E812" s="5" t="n"/>
      <c r="F812" s="5" t="n"/>
      <c r="G812" s="5" t="n"/>
    </row>
    <row r="813" ht="15.75" customHeight="1" s="17">
      <c r="A813" s="5" t="n"/>
      <c r="B813" s="5" t="n"/>
      <c r="C813" s="5" t="n"/>
      <c r="D813" s="5" t="n"/>
      <c r="E813" s="5" t="n"/>
      <c r="F813" s="5" t="n"/>
      <c r="G813" s="5" t="n"/>
    </row>
    <row r="814" ht="15.75" customHeight="1" s="17">
      <c r="A814" s="5" t="n"/>
      <c r="B814" s="5" t="n"/>
      <c r="C814" s="5" t="n"/>
      <c r="D814" s="5" t="n"/>
      <c r="E814" s="5" t="n"/>
      <c r="F814" s="5" t="n"/>
      <c r="G814" s="5" t="n"/>
    </row>
    <row r="815" ht="15.75" customHeight="1" s="17">
      <c r="A815" s="5" t="n"/>
      <c r="B815" s="5" t="n"/>
      <c r="C815" s="5" t="n"/>
      <c r="D815" s="5" t="n"/>
      <c r="E815" s="5" t="n"/>
      <c r="F815" s="5" t="n"/>
      <c r="G815" s="5" t="n"/>
    </row>
    <row r="816" ht="15.75" customHeight="1" s="17">
      <c r="A816" s="5" t="n"/>
      <c r="B816" s="5" t="n"/>
      <c r="C816" s="5" t="n"/>
      <c r="D816" s="5" t="n"/>
      <c r="E816" s="5" t="n"/>
      <c r="F816" s="5" t="n"/>
      <c r="G816" s="5" t="n"/>
    </row>
    <row r="817" ht="15.75" customHeight="1" s="17">
      <c r="A817" s="5" t="n"/>
      <c r="B817" s="5" t="n"/>
      <c r="C817" s="5" t="n"/>
      <c r="D817" s="5" t="n"/>
      <c r="E817" s="5" t="n"/>
      <c r="F817" s="5" t="n"/>
      <c r="G817" s="5" t="n"/>
    </row>
    <row r="818" ht="15.75" customHeight="1" s="17">
      <c r="A818" s="5" t="n"/>
      <c r="B818" s="5" t="n"/>
      <c r="C818" s="5" t="n"/>
      <c r="D818" s="5" t="n"/>
      <c r="E818" s="5" t="n"/>
      <c r="F818" s="5" t="n"/>
      <c r="G818" s="5" t="n"/>
    </row>
    <row r="819" ht="15.75" customHeight="1" s="17">
      <c r="A819" s="5" t="n"/>
      <c r="B819" s="5" t="n"/>
      <c r="C819" s="5" t="n"/>
      <c r="D819" s="5" t="n"/>
      <c r="E819" s="5" t="n"/>
      <c r="F819" s="5" t="n"/>
      <c r="G819" s="5" t="n"/>
    </row>
    <row r="820" ht="15.75" customHeight="1" s="17">
      <c r="A820" s="5" t="n"/>
      <c r="B820" s="5" t="n"/>
      <c r="C820" s="5" t="n"/>
      <c r="D820" s="5" t="n"/>
      <c r="E820" s="5" t="n"/>
      <c r="F820" s="5" t="n"/>
      <c r="G820" s="5" t="n"/>
    </row>
    <row r="821" ht="15.75" customHeight="1" s="17">
      <c r="A821" s="5" t="n"/>
      <c r="B821" s="5" t="n"/>
      <c r="C821" s="5" t="n"/>
      <c r="D821" s="5" t="n"/>
      <c r="E821" s="5" t="n"/>
      <c r="F821" s="5" t="n"/>
      <c r="G821" s="5" t="n"/>
    </row>
    <row r="822" ht="15.75" customHeight="1" s="17">
      <c r="A822" s="5" t="n"/>
      <c r="B822" s="5" t="n"/>
      <c r="C822" s="5" t="n"/>
      <c r="D822" s="5" t="n"/>
      <c r="E822" s="5" t="n"/>
      <c r="F822" s="5" t="n"/>
      <c r="G822" s="5" t="n"/>
    </row>
    <row r="823" ht="15.75" customHeight="1" s="17">
      <c r="A823" s="5" t="n"/>
      <c r="B823" s="5" t="n"/>
      <c r="C823" s="5" t="n"/>
      <c r="D823" s="5" t="n"/>
      <c r="E823" s="5" t="n"/>
      <c r="F823" s="5" t="n"/>
      <c r="G823" s="5" t="n"/>
    </row>
    <row r="824" ht="15.75" customHeight="1" s="17">
      <c r="A824" s="5" t="n"/>
      <c r="B824" s="5" t="n"/>
      <c r="C824" s="5" t="n"/>
      <c r="D824" s="5" t="n"/>
      <c r="E824" s="5" t="n"/>
      <c r="F824" s="5" t="n"/>
      <c r="G824" s="5" t="n"/>
    </row>
    <row r="825" ht="15.75" customHeight="1" s="17">
      <c r="A825" s="5" t="n"/>
      <c r="B825" s="5" t="n"/>
      <c r="C825" s="5" t="n"/>
      <c r="D825" s="5" t="n"/>
      <c r="E825" s="5" t="n"/>
      <c r="F825" s="5" t="n"/>
      <c r="G825" s="5" t="n"/>
    </row>
    <row r="826" ht="15.75" customHeight="1" s="17">
      <c r="A826" s="5" t="n"/>
      <c r="B826" s="5" t="n"/>
      <c r="C826" s="5" t="n"/>
      <c r="D826" s="5" t="n"/>
      <c r="E826" s="5" t="n"/>
      <c r="F826" s="5" t="n"/>
      <c r="G826" s="5" t="n"/>
    </row>
    <row r="827" ht="15.75" customHeight="1" s="17">
      <c r="A827" s="5" t="n"/>
      <c r="B827" s="5" t="n"/>
      <c r="C827" s="5" t="n"/>
      <c r="D827" s="5" t="n"/>
      <c r="E827" s="5" t="n"/>
      <c r="F827" s="5" t="n"/>
      <c r="G827" s="5" t="n"/>
    </row>
    <row r="828" ht="15.75" customHeight="1" s="17">
      <c r="A828" s="5" t="n"/>
      <c r="B828" s="5" t="n"/>
      <c r="C828" s="5" t="n"/>
      <c r="D828" s="5" t="n"/>
      <c r="E828" s="5" t="n"/>
      <c r="F828" s="5" t="n"/>
      <c r="G828" s="5" t="n"/>
    </row>
    <row r="829" ht="15.75" customHeight="1" s="17">
      <c r="A829" s="5" t="n"/>
      <c r="B829" s="5" t="n"/>
      <c r="C829" s="5" t="n"/>
      <c r="D829" s="5" t="n"/>
      <c r="E829" s="5" t="n"/>
      <c r="F829" s="5" t="n"/>
      <c r="G829" s="5" t="n"/>
    </row>
    <row r="830" ht="15.75" customHeight="1" s="17">
      <c r="A830" s="5" t="n"/>
      <c r="B830" s="5" t="n"/>
      <c r="C830" s="5" t="n"/>
      <c r="D830" s="5" t="n"/>
      <c r="E830" s="5" t="n"/>
      <c r="F830" s="5" t="n"/>
      <c r="G830" s="5" t="n"/>
    </row>
    <row r="831" ht="15.75" customHeight="1" s="17">
      <c r="A831" s="5" t="n"/>
      <c r="B831" s="5" t="n"/>
      <c r="C831" s="5" t="n"/>
      <c r="D831" s="5" t="n"/>
      <c r="E831" s="5" t="n"/>
      <c r="F831" s="5" t="n"/>
      <c r="G831" s="5" t="n"/>
    </row>
    <row r="832" ht="15.75" customHeight="1" s="17">
      <c r="A832" s="5" t="n"/>
      <c r="B832" s="5" t="n"/>
      <c r="C832" s="5" t="n"/>
      <c r="D832" s="5" t="n"/>
      <c r="E832" s="5" t="n"/>
      <c r="F832" s="5" t="n"/>
      <c r="G832" s="5" t="n"/>
    </row>
    <row r="833" ht="15.75" customHeight="1" s="17">
      <c r="A833" s="5" t="n"/>
      <c r="B833" s="5" t="n"/>
      <c r="C833" s="5" t="n"/>
      <c r="D833" s="5" t="n"/>
      <c r="E833" s="5" t="n"/>
      <c r="F833" s="5" t="n"/>
      <c r="G833" s="5" t="n"/>
    </row>
    <row r="834" ht="15.75" customHeight="1" s="17">
      <c r="A834" s="5" t="n"/>
      <c r="B834" s="5" t="n"/>
      <c r="C834" s="5" t="n"/>
      <c r="D834" s="5" t="n"/>
      <c r="E834" s="5" t="n"/>
      <c r="F834" s="5" t="n"/>
      <c r="G834" s="5" t="n"/>
    </row>
    <row r="835" ht="15.75" customHeight="1" s="17">
      <c r="A835" s="5" t="n"/>
      <c r="B835" s="5" t="n"/>
      <c r="C835" s="5" t="n"/>
      <c r="D835" s="5" t="n"/>
      <c r="E835" s="5" t="n"/>
      <c r="F835" s="5" t="n"/>
      <c r="G835" s="5" t="n"/>
    </row>
    <row r="836" ht="15.75" customHeight="1" s="17">
      <c r="A836" s="5" t="n"/>
      <c r="B836" s="5" t="n"/>
      <c r="C836" s="5" t="n"/>
      <c r="D836" s="5" t="n"/>
      <c r="E836" s="5" t="n"/>
      <c r="F836" s="5" t="n"/>
      <c r="G836" s="5" t="n"/>
    </row>
    <row r="837" ht="15.75" customHeight="1" s="17">
      <c r="A837" s="5" t="n"/>
      <c r="B837" s="5" t="n"/>
      <c r="C837" s="5" t="n"/>
      <c r="D837" s="5" t="n"/>
      <c r="E837" s="5" t="n"/>
      <c r="F837" s="5" t="n"/>
      <c r="G837" s="5" t="n"/>
    </row>
    <row r="838" ht="15.75" customHeight="1" s="17">
      <c r="A838" s="5" t="n"/>
      <c r="B838" s="5" t="n"/>
      <c r="C838" s="5" t="n"/>
      <c r="D838" s="5" t="n"/>
      <c r="E838" s="5" t="n"/>
      <c r="F838" s="5" t="n"/>
      <c r="G838" s="5" t="n"/>
    </row>
    <row r="839" ht="15.75" customHeight="1" s="17">
      <c r="A839" s="5" t="n"/>
      <c r="B839" s="5" t="n"/>
      <c r="C839" s="5" t="n"/>
      <c r="D839" s="5" t="n"/>
      <c r="E839" s="5" t="n"/>
      <c r="F839" s="5" t="n"/>
      <c r="G839" s="5" t="n"/>
    </row>
    <row r="840" ht="15.75" customHeight="1" s="17">
      <c r="A840" s="5" t="n"/>
      <c r="B840" s="5" t="n"/>
      <c r="C840" s="5" t="n"/>
      <c r="D840" s="5" t="n"/>
      <c r="E840" s="5" t="n"/>
      <c r="F840" s="5" t="n"/>
      <c r="G840" s="5" t="n"/>
    </row>
    <row r="841" ht="15.75" customHeight="1" s="17">
      <c r="A841" s="5" t="n"/>
      <c r="B841" s="5" t="n"/>
      <c r="C841" s="5" t="n"/>
      <c r="D841" s="5" t="n"/>
      <c r="E841" s="5" t="n"/>
      <c r="F841" s="5" t="n"/>
      <c r="G841" s="5" t="n"/>
    </row>
    <row r="842" ht="15.75" customHeight="1" s="17">
      <c r="A842" s="5" t="n"/>
      <c r="B842" s="5" t="n"/>
      <c r="C842" s="5" t="n"/>
      <c r="D842" s="5" t="n"/>
      <c r="E842" s="5" t="n"/>
      <c r="F842" s="5" t="n"/>
      <c r="G842" s="5" t="n"/>
    </row>
    <row r="843" ht="15.75" customHeight="1" s="17">
      <c r="A843" s="5" t="n"/>
      <c r="B843" s="5" t="n"/>
      <c r="C843" s="5" t="n"/>
      <c r="D843" s="5" t="n"/>
      <c r="E843" s="5" t="n"/>
      <c r="F843" s="5" t="n"/>
      <c r="G843" s="5" t="n"/>
    </row>
    <row r="844" ht="15.75" customHeight="1" s="17">
      <c r="A844" s="5" t="n"/>
      <c r="B844" s="5" t="n"/>
      <c r="C844" s="5" t="n"/>
      <c r="D844" s="5" t="n"/>
      <c r="E844" s="5" t="n"/>
      <c r="F844" s="5" t="n"/>
      <c r="G844" s="5" t="n"/>
    </row>
    <row r="845" ht="15.75" customHeight="1" s="17">
      <c r="A845" s="5" t="n"/>
      <c r="B845" s="5" t="n"/>
      <c r="C845" s="5" t="n"/>
      <c r="D845" s="5" t="n"/>
      <c r="E845" s="5" t="n"/>
      <c r="F845" s="5" t="n"/>
      <c r="G845" s="5" t="n"/>
    </row>
    <row r="846" ht="15.75" customHeight="1" s="17">
      <c r="A846" s="5" t="n"/>
      <c r="B846" s="5" t="n"/>
      <c r="C846" s="5" t="n"/>
      <c r="D846" s="5" t="n"/>
      <c r="E846" s="5" t="n"/>
      <c r="F846" s="5" t="n"/>
      <c r="G846" s="5" t="n"/>
    </row>
    <row r="847" ht="15.75" customHeight="1" s="17">
      <c r="A847" s="5" t="n"/>
      <c r="B847" s="5" t="n"/>
      <c r="C847" s="5" t="n"/>
      <c r="D847" s="5" t="n"/>
      <c r="E847" s="5" t="n"/>
      <c r="F847" s="5" t="n"/>
      <c r="G847" s="5" t="n"/>
    </row>
    <row r="848" ht="15.75" customHeight="1" s="17">
      <c r="A848" s="5" t="n"/>
      <c r="B848" s="5" t="n"/>
      <c r="C848" s="5" t="n"/>
      <c r="D848" s="5" t="n"/>
      <c r="E848" s="5" t="n"/>
      <c r="F848" s="5" t="n"/>
      <c r="G848" s="5" t="n"/>
    </row>
    <row r="849" ht="15.75" customHeight="1" s="17">
      <c r="A849" s="5" t="n"/>
      <c r="B849" s="5" t="n"/>
      <c r="C849" s="5" t="n"/>
      <c r="D849" s="5" t="n"/>
      <c r="E849" s="5" t="n"/>
      <c r="F849" s="5" t="n"/>
      <c r="G849" s="5" t="n"/>
    </row>
    <row r="850" ht="15.75" customHeight="1" s="17">
      <c r="A850" s="5" t="n"/>
      <c r="B850" s="5" t="n"/>
      <c r="C850" s="5" t="n"/>
      <c r="D850" s="5" t="n"/>
      <c r="E850" s="5" t="n"/>
      <c r="F850" s="5" t="n"/>
      <c r="G850" s="5" t="n"/>
    </row>
    <row r="851" ht="15.75" customHeight="1" s="17">
      <c r="A851" s="5" t="n"/>
      <c r="B851" s="5" t="n"/>
      <c r="C851" s="5" t="n"/>
      <c r="D851" s="5" t="n"/>
      <c r="E851" s="5" t="n"/>
      <c r="F851" s="5" t="n"/>
      <c r="G851" s="5" t="n"/>
    </row>
    <row r="852" ht="15.75" customHeight="1" s="17">
      <c r="A852" s="5" t="n"/>
      <c r="B852" s="5" t="n"/>
      <c r="C852" s="5" t="n"/>
      <c r="D852" s="5" t="n"/>
      <c r="E852" s="5" t="n"/>
      <c r="F852" s="5" t="n"/>
      <c r="G852" s="5" t="n"/>
    </row>
    <row r="853" ht="15.75" customHeight="1" s="17">
      <c r="A853" s="5" t="n"/>
      <c r="B853" s="5" t="n"/>
      <c r="C853" s="5" t="n"/>
      <c r="D853" s="5" t="n"/>
      <c r="E853" s="5" t="n"/>
      <c r="F853" s="5" t="n"/>
      <c r="G853" s="5" t="n"/>
    </row>
    <row r="854" ht="15.75" customHeight="1" s="17">
      <c r="A854" s="5" t="n"/>
      <c r="B854" s="5" t="n"/>
      <c r="C854" s="5" t="n"/>
      <c r="D854" s="5" t="n"/>
      <c r="E854" s="5" t="n"/>
      <c r="F854" s="5" t="n"/>
      <c r="G854" s="5" t="n"/>
    </row>
    <row r="855" ht="15.75" customHeight="1" s="17">
      <c r="A855" s="5" t="n"/>
      <c r="B855" s="5" t="n"/>
      <c r="C855" s="5" t="n"/>
      <c r="D855" s="5" t="n"/>
      <c r="E855" s="5" t="n"/>
      <c r="F855" s="5" t="n"/>
      <c r="G855" s="5" t="n"/>
    </row>
    <row r="856" ht="15.75" customHeight="1" s="17">
      <c r="A856" s="5" t="n"/>
      <c r="B856" s="5" t="n"/>
      <c r="C856" s="5" t="n"/>
      <c r="D856" s="5" t="n"/>
      <c r="E856" s="5" t="n"/>
      <c r="F856" s="5" t="n"/>
      <c r="G856" s="5" t="n"/>
    </row>
    <row r="857" ht="15.75" customHeight="1" s="17">
      <c r="A857" s="5" t="n"/>
      <c r="B857" s="5" t="n"/>
      <c r="C857" s="5" t="n"/>
      <c r="D857" s="5" t="n"/>
      <c r="E857" s="5" t="n"/>
      <c r="F857" s="5" t="n"/>
      <c r="G857" s="5" t="n"/>
    </row>
    <row r="858" ht="15.75" customHeight="1" s="17">
      <c r="A858" s="5" t="n"/>
      <c r="B858" s="5" t="n"/>
      <c r="C858" s="5" t="n"/>
      <c r="D858" s="5" t="n"/>
      <c r="E858" s="5" t="n"/>
      <c r="F858" s="5" t="n"/>
      <c r="G858" s="5" t="n"/>
    </row>
    <row r="859" ht="15.75" customHeight="1" s="17">
      <c r="A859" s="5" t="n"/>
      <c r="B859" s="5" t="n"/>
      <c r="C859" s="5" t="n"/>
      <c r="D859" s="5" t="n"/>
      <c r="E859" s="5" t="n"/>
      <c r="F859" s="5" t="n"/>
      <c r="G859" s="5" t="n"/>
    </row>
    <row r="860" ht="15.75" customHeight="1" s="17">
      <c r="A860" s="5" t="n"/>
      <c r="B860" s="5" t="n"/>
      <c r="C860" s="5" t="n"/>
      <c r="D860" s="5" t="n"/>
      <c r="E860" s="5" t="n"/>
      <c r="F860" s="5" t="n"/>
      <c r="G860" s="5" t="n"/>
    </row>
    <row r="861" ht="15.75" customHeight="1" s="17">
      <c r="A861" s="5" t="n"/>
      <c r="B861" s="5" t="n"/>
      <c r="C861" s="5" t="n"/>
      <c r="D861" s="5" t="n"/>
      <c r="E861" s="5" t="n"/>
      <c r="F861" s="5" t="n"/>
      <c r="G861" s="5" t="n"/>
    </row>
    <row r="862" ht="15.75" customHeight="1" s="17">
      <c r="A862" s="5" t="n"/>
      <c r="B862" s="5" t="n"/>
      <c r="C862" s="5" t="n"/>
      <c r="D862" s="5" t="n"/>
      <c r="E862" s="5" t="n"/>
      <c r="F862" s="5" t="n"/>
      <c r="G862" s="5" t="n"/>
    </row>
    <row r="863" ht="15.75" customHeight="1" s="17">
      <c r="A863" s="5" t="n"/>
      <c r="B863" s="5" t="n"/>
      <c r="C863" s="5" t="n"/>
      <c r="D863" s="5" t="n"/>
      <c r="E863" s="5" t="n"/>
      <c r="F863" s="5" t="n"/>
      <c r="G863" s="5" t="n"/>
    </row>
    <row r="864" ht="15.75" customHeight="1" s="17">
      <c r="A864" s="5" t="n"/>
      <c r="B864" s="5" t="n"/>
      <c r="C864" s="5" t="n"/>
      <c r="D864" s="5" t="n"/>
      <c r="E864" s="5" t="n"/>
      <c r="F864" s="5" t="n"/>
      <c r="G864" s="5" t="n"/>
    </row>
    <row r="865" ht="15.75" customHeight="1" s="17">
      <c r="A865" s="5" t="n"/>
      <c r="B865" s="5" t="n"/>
      <c r="C865" s="5" t="n"/>
      <c r="D865" s="5" t="n"/>
      <c r="E865" s="5" t="n"/>
      <c r="F865" s="5" t="n"/>
      <c r="G865" s="5" t="n"/>
    </row>
    <row r="866" ht="15.75" customHeight="1" s="17">
      <c r="A866" s="5" t="n"/>
      <c r="B866" s="5" t="n"/>
      <c r="C866" s="5" t="n"/>
      <c r="D866" s="5" t="n"/>
      <c r="E866" s="5" t="n"/>
      <c r="F866" s="5" t="n"/>
      <c r="G866" s="5" t="n"/>
    </row>
    <row r="867" ht="15.75" customHeight="1" s="17">
      <c r="A867" s="5" t="n"/>
      <c r="B867" s="5" t="n"/>
      <c r="C867" s="5" t="n"/>
      <c r="D867" s="5" t="n"/>
      <c r="E867" s="5" t="n"/>
      <c r="F867" s="5" t="n"/>
      <c r="G867" s="5" t="n"/>
    </row>
    <row r="868" ht="15.75" customHeight="1" s="17">
      <c r="A868" s="5" t="n"/>
      <c r="B868" s="5" t="n"/>
      <c r="C868" s="5" t="n"/>
      <c r="D868" s="5" t="n"/>
      <c r="E868" s="5" t="n"/>
      <c r="F868" s="5" t="n"/>
      <c r="G868" s="5" t="n"/>
    </row>
    <row r="869" ht="15.75" customHeight="1" s="17">
      <c r="A869" s="5" t="n"/>
      <c r="B869" s="5" t="n"/>
      <c r="C869" s="5" t="n"/>
      <c r="D869" s="5" t="n"/>
      <c r="E869" s="5" t="n"/>
      <c r="F869" s="5" t="n"/>
      <c r="G869" s="5" t="n"/>
    </row>
    <row r="870" ht="15.75" customHeight="1" s="17">
      <c r="A870" s="5" t="n"/>
      <c r="B870" s="5" t="n"/>
      <c r="C870" s="5" t="n"/>
      <c r="D870" s="5" t="n"/>
      <c r="E870" s="5" t="n"/>
      <c r="F870" s="5" t="n"/>
      <c r="G870" s="5" t="n"/>
    </row>
    <row r="871" ht="15.75" customHeight="1" s="17">
      <c r="A871" s="5" t="n"/>
      <c r="B871" s="5" t="n"/>
      <c r="C871" s="5" t="n"/>
      <c r="D871" s="5" t="n"/>
      <c r="E871" s="5" t="n"/>
      <c r="F871" s="5" t="n"/>
      <c r="G871" s="5" t="n"/>
    </row>
    <row r="872" ht="15.75" customHeight="1" s="17">
      <c r="A872" s="5" t="n"/>
      <c r="B872" s="5" t="n"/>
      <c r="C872" s="5" t="n"/>
      <c r="D872" s="5" t="n"/>
      <c r="E872" s="5" t="n"/>
      <c r="F872" s="5" t="n"/>
      <c r="G872" s="5" t="n"/>
    </row>
    <row r="873" ht="15.75" customHeight="1" s="17">
      <c r="A873" s="5" t="n"/>
      <c r="B873" s="5" t="n"/>
      <c r="C873" s="5" t="n"/>
      <c r="D873" s="5" t="n"/>
      <c r="E873" s="5" t="n"/>
      <c r="F873" s="5" t="n"/>
      <c r="G873" s="5" t="n"/>
    </row>
    <row r="874" ht="15.75" customHeight="1" s="17">
      <c r="A874" s="5" t="n"/>
      <c r="B874" s="5" t="n"/>
      <c r="C874" s="5" t="n"/>
      <c r="D874" s="5" t="n"/>
      <c r="E874" s="5" t="n"/>
      <c r="F874" s="5" t="n"/>
      <c r="G874" s="5" t="n"/>
    </row>
    <row r="875" ht="15.75" customHeight="1" s="17">
      <c r="A875" s="5" t="n"/>
      <c r="B875" s="5" t="n"/>
      <c r="C875" s="5" t="n"/>
      <c r="D875" s="5" t="n"/>
      <c r="E875" s="5" t="n"/>
      <c r="F875" s="5" t="n"/>
      <c r="G875" s="5" t="n"/>
    </row>
    <row r="876" ht="15.75" customHeight="1" s="17">
      <c r="A876" s="5" t="n"/>
      <c r="B876" s="5" t="n"/>
      <c r="C876" s="5" t="n"/>
      <c r="D876" s="5" t="n"/>
      <c r="E876" s="5" t="n"/>
      <c r="F876" s="5" t="n"/>
      <c r="G876" s="5" t="n"/>
    </row>
    <row r="877" ht="15.75" customHeight="1" s="17">
      <c r="A877" s="5" t="n"/>
      <c r="B877" s="5" t="n"/>
      <c r="C877" s="5" t="n"/>
      <c r="D877" s="5" t="n"/>
      <c r="E877" s="5" t="n"/>
      <c r="F877" s="5" t="n"/>
      <c r="G877" s="5" t="n"/>
    </row>
    <row r="878" ht="15.75" customHeight="1" s="17">
      <c r="A878" s="5" t="n"/>
      <c r="B878" s="5" t="n"/>
      <c r="C878" s="5" t="n"/>
      <c r="D878" s="5" t="n"/>
      <c r="E878" s="5" t="n"/>
      <c r="F878" s="5" t="n"/>
      <c r="G878" s="5" t="n"/>
    </row>
    <row r="879" ht="15.75" customHeight="1" s="17">
      <c r="A879" s="5" t="n"/>
      <c r="B879" s="5" t="n"/>
      <c r="C879" s="5" t="n"/>
      <c r="D879" s="5" t="n"/>
      <c r="E879" s="5" t="n"/>
      <c r="F879" s="5" t="n"/>
      <c r="G879" s="5" t="n"/>
    </row>
    <row r="880" ht="15.75" customHeight="1" s="17">
      <c r="A880" s="5" t="n"/>
      <c r="B880" s="5" t="n"/>
      <c r="C880" s="5" t="n"/>
      <c r="D880" s="5" t="n"/>
      <c r="E880" s="5" t="n"/>
      <c r="F880" s="5" t="n"/>
      <c r="G880" s="5" t="n"/>
    </row>
    <row r="881" ht="15.75" customHeight="1" s="17">
      <c r="A881" s="5" t="n"/>
      <c r="B881" s="5" t="n"/>
      <c r="C881" s="5" t="n"/>
      <c r="D881" s="5" t="n"/>
      <c r="E881" s="5" t="n"/>
      <c r="F881" s="5" t="n"/>
      <c r="G881" s="5" t="n"/>
    </row>
    <row r="882" ht="15.75" customHeight="1" s="17">
      <c r="A882" s="5" t="n"/>
      <c r="B882" s="5" t="n"/>
      <c r="C882" s="5" t="n"/>
      <c r="D882" s="5" t="n"/>
      <c r="E882" s="5" t="n"/>
      <c r="F882" s="5" t="n"/>
      <c r="G882" s="5" t="n"/>
    </row>
    <row r="883" ht="15.75" customHeight="1" s="17">
      <c r="A883" s="5" t="n"/>
      <c r="B883" s="5" t="n"/>
      <c r="C883" s="5" t="n"/>
      <c r="D883" s="5" t="n"/>
      <c r="E883" s="5" t="n"/>
      <c r="F883" s="5" t="n"/>
      <c r="G883" s="5" t="n"/>
    </row>
    <row r="884" ht="15.75" customHeight="1" s="17">
      <c r="A884" s="5" t="n"/>
      <c r="B884" s="5" t="n"/>
      <c r="C884" s="5" t="n"/>
      <c r="D884" s="5" t="n"/>
      <c r="E884" s="5" t="n"/>
      <c r="F884" s="5" t="n"/>
      <c r="G884" s="5" t="n"/>
    </row>
    <row r="885" ht="15.75" customHeight="1" s="17">
      <c r="A885" s="5" t="n"/>
      <c r="B885" s="5" t="n"/>
      <c r="C885" s="5" t="n"/>
      <c r="D885" s="5" t="n"/>
      <c r="E885" s="5" t="n"/>
      <c r="F885" s="5" t="n"/>
      <c r="G885" s="5" t="n"/>
    </row>
    <row r="886" ht="15.75" customHeight="1" s="17">
      <c r="A886" s="5" t="n"/>
      <c r="B886" s="5" t="n"/>
      <c r="C886" s="5" t="n"/>
      <c r="D886" s="5" t="n"/>
      <c r="E886" s="5" t="n"/>
      <c r="F886" s="5" t="n"/>
      <c r="G886" s="5" t="n"/>
    </row>
    <row r="887" ht="15.75" customHeight="1" s="17">
      <c r="A887" s="5" t="n"/>
      <c r="B887" s="5" t="n"/>
      <c r="C887" s="5" t="n"/>
      <c r="D887" s="5" t="n"/>
      <c r="E887" s="5" t="n"/>
      <c r="F887" s="5" t="n"/>
      <c r="G887" s="5" t="n"/>
    </row>
    <row r="888" ht="15.75" customHeight="1" s="17">
      <c r="A888" s="5" t="n"/>
      <c r="B888" s="5" t="n"/>
      <c r="C888" s="5" t="n"/>
      <c r="D888" s="5" t="n"/>
      <c r="E888" s="5" t="n"/>
      <c r="F888" s="5" t="n"/>
      <c r="G888" s="5" t="n"/>
    </row>
    <row r="889" ht="15.75" customHeight="1" s="17">
      <c r="A889" s="5" t="n"/>
      <c r="B889" s="5" t="n"/>
      <c r="C889" s="5" t="n"/>
      <c r="D889" s="5" t="n"/>
      <c r="E889" s="5" t="n"/>
      <c r="F889" s="5" t="n"/>
      <c r="G889" s="5" t="n"/>
    </row>
    <row r="890" ht="15.75" customHeight="1" s="17">
      <c r="A890" s="5" t="n"/>
      <c r="B890" s="5" t="n"/>
      <c r="C890" s="5" t="n"/>
      <c r="D890" s="5" t="n"/>
      <c r="E890" s="5" t="n"/>
      <c r="F890" s="5" t="n"/>
      <c r="G890" s="5" t="n"/>
    </row>
    <row r="891" ht="15.75" customHeight="1" s="17">
      <c r="A891" s="5" t="n"/>
      <c r="B891" s="5" t="n"/>
      <c r="C891" s="5" t="n"/>
      <c r="D891" s="5" t="n"/>
      <c r="E891" s="5" t="n"/>
      <c r="F891" s="5" t="n"/>
      <c r="G891" s="5" t="n"/>
    </row>
    <row r="892" ht="15.75" customHeight="1" s="17">
      <c r="A892" s="5" t="n"/>
      <c r="B892" s="5" t="n"/>
      <c r="C892" s="5" t="n"/>
      <c r="D892" s="5" t="n"/>
      <c r="E892" s="5" t="n"/>
      <c r="F892" s="5" t="n"/>
      <c r="G892" s="5" t="n"/>
    </row>
    <row r="893" ht="15.75" customHeight="1" s="17">
      <c r="A893" s="5" t="n"/>
      <c r="B893" s="5" t="n"/>
      <c r="C893" s="5" t="n"/>
      <c r="D893" s="5" t="n"/>
      <c r="E893" s="5" t="n"/>
      <c r="F893" s="5" t="n"/>
      <c r="G893" s="5" t="n"/>
    </row>
    <row r="894" ht="15.75" customHeight="1" s="17">
      <c r="A894" s="5" t="n"/>
      <c r="B894" s="5" t="n"/>
      <c r="C894" s="5" t="n"/>
      <c r="D894" s="5" t="n"/>
      <c r="E894" s="5" t="n"/>
      <c r="F894" s="5" t="n"/>
      <c r="G894" s="5" t="n"/>
    </row>
    <row r="895" ht="15.75" customHeight="1" s="17">
      <c r="A895" s="5" t="n"/>
      <c r="B895" s="5" t="n"/>
      <c r="C895" s="5" t="n"/>
      <c r="D895" s="5" t="n"/>
      <c r="E895" s="5" t="n"/>
      <c r="F895" s="5" t="n"/>
      <c r="G895" s="5" t="n"/>
    </row>
    <row r="896" ht="15.75" customHeight="1" s="17">
      <c r="A896" s="5" t="n"/>
      <c r="B896" s="5" t="n"/>
      <c r="C896" s="5" t="n"/>
      <c r="D896" s="5" t="n"/>
      <c r="E896" s="5" t="n"/>
      <c r="F896" s="5" t="n"/>
      <c r="G896" s="5" t="n"/>
    </row>
    <row r="897" ht="15.75" customHeight="1" s="17">
      <c r="A897" s="5" t="n"/>
      <c r="B897" s="5" t="n"/>
      <c r="C897" s="5" t="n"/>
      <c r="D897" s="5" t="n"/>
      <c r="E897" s="5" t="n"/>
      <c r="F897" s="5" t="n"/>
      <c r="G897" s="5" t="n"/>
    </row>
    <row r="898" ht="15.75" customHeight="1" s="17">
      <c r="A898" s="5" t="n"/>
      <c r="B898" s="5" t="n"/>
      <c r="C898" s="5" t="n"/>
      <c r="D898" s="5" t="n"/>
      <c r="E898" s="5" t="n"/>
      <c r="F898" s="5" t="n"/>
      <c r="G898" s="5" t="n"/>
    </row>
    <row r="899" ht="15.75" customHeight="1" s="17">
      <c r="A899" s="5" t="n"/>
      <c r="B899" s="5" t="n"/>
      <c r="C899" s="5" t="n"/>
      <c r="D899" s="5" t="n"/>
      <c r="E899" s="5" t="n"/>
      <c r="F899" s="5" t="n"/>
      <c r="G899" s="5" t="n"/>
    </row>
    <row r="900" ht="15.75" customHeight="1" s="17">
      <c r="A900" s="5" t="n"/>
      <c r="B900" s="5" t="n"/>
      <c r="C900" s="5" t="n"/>
      <c r="D900" s="5" t="n"/>
      <c r="E900" s="5" t="n"/>
      <c r="F900" s="5" t="n"/>
      <c r="G900" s="5" t="n"/>
    </row>
    <row r="901" ht="15.75" customHeight="1" s="17">
      <c r="A901" s="5" t="n"/>
      <c r="B901" s="5" t="n"/>
      <c r="C901" s="5" t="n"/>
      <c r="D901" s="5" t="n"/>
      <c r="E901" s="5" t="n"/>
      <c r="F901" s="5" t="n"/>
      <c r="G901" s="5" t="n"/>
    </row>
    <row r="902" ht="15.75" customHeight="1" s="17">
      <c r="A902" s="5" t="n"/>
      <c r="B902" s="5" t="n"/>
      <c r="C902" s="5" t="n"/>
      <c r="D902" s="5" t="n"/>
      <c r="E902" s="5" t="n"/>
      <c r="F902" s="5" t="n"/>
      <c r="G902" s="5" t="n"/>
    </row>
    <row r="903" ht="15.75" customHeight="1" s="17">
      <c r="A903" s="5" t="n"/>
      <c r="B903" s="5" t="n"/>
      <c r="C903" s="5" t="n"/>
      <c r="D903" s="5" t="n"/>
      <c r="E903" s="5" t="n"/>
      <c r="F903" s="5" t="n"/>
      <c r="G903" s="5" t="n"/>
    </row>
    <row r="904" ht="15.75" customHeight="1" s="17">
      <c r="A904" s="5" t="n"/>
      <c r="B904" s="5" t="n"/>
      <c r="C904" s="5" t="n"/>
      <c r="D904" s="5" t="n"/>
      <c r="E904" s="5" t="n"/>
      <c r="F904" s="5" t="n"/>
      <c r="G904" s="5" t="n"/>
    </row>
    <row r="905" ht="15.75" customHeight="1" s="17">
      <c r="A905" s="5" t="n"/>
      <c r="B905" s="5" t="n"/>
      <c r="C905" s="5" t="n"/>
      <c r="D905" s="5" t="n"/>
      <c r="E905" s="5" t="n"/>
      <c r="F905" s="5" t="n"/>
      <c r="G905" s="5" t="n"/>
    </row>
    <row r="906" ht="15.75" customHeight="1" s="17">
      <c r="A906" s="5" t="n"/>
      <c r="B906" s="5" t="n"/>
      <c r="C906" s="5" t="n"/>
      <c r="D906" s="5" t="n"/>
      <c r="E906" s="5" t="n"/>
      <c r="F906" s="5" t="n"/>
      <c r="G906" s="5" t="n"/>
    </row>
    <row r="907" ht="15.75" customHeight="1" s="17">
      <c r="A907" s="5" t="n"/>
      <c r="B907" s="5" t="n"/>
      <c r="C907" s="5" t="n"/>
      <c r="D907" s="5" t="n"/>
      <c r="E907" s="5" t="n"/>
      <c r="F907" s="5" t="n"/>
      <c r="G907" s="5" t="n"/>
    </row>
    <row r="908" ht="15.75" customHeight="1" s="17">
      <c r="A908" s="5" t="n"/>
      <c r="B908" s="5" t="n"/>
      <c r="C908" s="5" t="n"/>
      <c r="D908" s="5" t="n"/>
      <c r="E908" s="5" t="n"/>
      <c r="F908" s="5" t="n"/>
      <c r="G908" s="5" t="n"/>
    </row>
    <row r="909" ht="15.75" customHeight="1" s="17">
      <c r="A909" s="5" t="n"/>
      <c r="B909" s="5" t="n"/>
      <c r="C909" s="5" t="n"/>
      <c r="D909" s="5" t="n"/>
      <c r="E909" s="5" t="n"/>
      <c r="F909" s="5" t="n"/>
      <c r="G909" s="5" t="n"/>
    </row>
    <row r="910" ht="15.75" customHeight="1" s="17">
      <c r="A910" s="5" t="n"/>
      <c r="B910" s="5" t="n"/>
      <c r="C910" s="5" t="n"/>
      <c r="D910" s="5" t="n"/>
      <c r="E910" s="5" t="n"/>
      <c r="F910" s="5" t="n"/>
      <c r="G910" s="5" t="n"/>
    </row>
    <row r="911" ht="15.75" customHeight="1" s="17">
      <c r="A911" s="5" t="n"/>
      <c r="B911" s="5" t="n"/>
      <c r="C911" s="5" t="n"/>
      <c r="D911" s="5" t="n"/>
      <c r="E911" s="5" t="n"/>
      <c r="F911" s="5" t="n"/>
      <c r="G911" s="5" t="n"/>
    </row>
    <row r="912" ht="15.75" customHeight="1" s="17">
      <c r="A912" s="5" t="n"/>
      <c r="B912" s="5" t="n"/>
      <c r="C912" s="5" t="n"/>
      <c r="D912" s="5" t="n"/>
      <c r="E912" s="5" t="n"/>
      <c r="F912" s="5" t="n"/>
      <c r="G912" s="5" t="n"/>
    </row>
    <row r="913" ht="15.75" customHeight="1" s="17">
      <c r="A913" s="5" t="n"/>
      <c r="B913" s="5" t="n"/>
      <c r="C913" s="5" t="n"/>
      <c r="D913" s="5" t="n"/>
      <c r="E913" s="5" t="n"/>
      <c r="F913" s="5" t="n"/>
      <c r="G913" s="5" t="n"/>
    </row>
    <row r="914" ht="15.75" customHeight="1" s="17">
      <c r="A914" s="5" t="n"/>
      <c r="B914" s="5" t="n"/>
      <c r="C914" s="5" t="n"/>
      <c r="D914" s="5" t="n"/>
      <c r="E914" s="5" t="n"/>
      <c r="F914" s="5" t="n"/>
      <c r="G914" s="5" t="n"/>
    </row>
    <row r="915" ht="15.75" customHeight="1" s="17">
      <c r="A915" s="5" t="n"/>
      <c r="B915" s="5" t="n"/>
      <c r="C915" s="5" t="n"/>
      <c r="D915" s="5" t="n"/>
      <c r="E915" s="5" t="n"/>
      <c r="F915" s="5" t="n"/>
      <c r="G915" s="5" t="n"/>
    </row>
    <row r="916" ht="15.75" customHeight="1" s="17">
      <c r="A916" s="5" t="n"/>
      <c r="B916" s="5" t="n"/>
      <c r="C916" s="5" t="n"/>
      <c r="D916" s="5" t="n"/>
      <c r="E916" s="5" t="n"/>
      <c r="F916" s="5" t="n"/>
      <c r="G916" s="5" t="n"/>
    </row>
    <row r="917" ht="15.75" customHeight="1" s="17">
      <c r="A917" s="5" t="n"/>
      <c r="B917" s="5" t="n"/>
      <c r="C917" s="5" t="n"/>
      <c r="D917" s="5" t="n"/>
      <c r="E917" s="5" t="n"/>
      <c r="F917" s="5" t="n"/>
      <c r="G917" s="5" t="n"/>
    </row>
    <row r="918" ht="15.75" customHeight="1" s="17">
      <c r="A918" s="5" t="n"/>
      <c r="B918" s="5" t="n"/>
      <c r="C918" s="5" t="n"/>
      <c r="D918" s="5" t="n"/>
      <c r="E918" s="5" t="n"/>
      <c r="F918" s="5" t="n"/>
      <c r="G918" s="5" t="n"/>
    </row>
    <row r="919" ht="15.75" customHeight="1" s="17">
      <c r="A919" s="5" t="n"/>
      <c r="B919" s="5" t="n"/>
      <c r="C919" s="5" t="n"/>
      <c r="D919" s="5" t="n"/>
      <c r="E919" s="5" t="n"/>
      <c r="F919" s="5" t="n"/>
      <c r="G919" s="5" t="n"/>
    </row>
    <row r="920" ht="15.75" customHeight="1" s="17">
      <c r="A920" s="5" t="n"/>
      <c r="B920" s="5" t="n"/>
      <c r="C920" s="5" t="n"/>
      <c r="D920" s="5" t="n"/>
      <c r="E920" s="5" t="n"/>
      <c r="F920" s="5" t="n"/>
      <c r="G920" s="5" t="n"/>
    </row>
    <row r="921" ht="15.75" customHeight="1" s="17">
      <c r="A921" s="5" t="n"/>
      <c r="B921" s="5" t="n"/>
      <c r="C921" s="5" t="n"/>
      <c r="D921" s="5" t="n"/>
      <c r="E921" s="5" t="n"/>
      <c r="F921" s="5" t="n"/>
      <c r="G921" s="5" t="n"/>
    </row>
    <row r="922" ht="15.75" customHeight="1" s="17">
      <c r="A922" s="5" t="n"/>
      <c r="B922" s="5" t="n"/>
      <c r="C922" s="5" t="n"/>
      <c r="D922" s="5" t="n"/>
      <c r="E922" s="5" t="n"/>
      <c r="F922" s="5" t="n"/>
      <c r="G922" s="5" t="n"/>
    </row>
    <row r="923" ht="15.75" customHeight="1" s="17">
      <c r="A923" s="5" t="n"/>
      <c r="B923" s="5" t="n"/>
      <c r="C923" s="5" t="n"/>
      <c r="D923" s="5" t="n"/>
      <c r="E923" s="5" t="n"/>
      <c r="F923" s="5" t="n"/>
      <c r="G923" s="5" t="n"/>
    </row>
    <row r="924" ht="15.75" customHeight="1" s="17">
      <c r="A924" s="5" t="n"/>
      <c r="B924" s="5" t="n"/>
      <c r="C924" s="5" t="n"/>
      <c r="D924" s="5" t="n"/>
      <c r="E924" s="5" t="n"/>
      <c r="F924" s="5" t="n"/>
      <c r="G924" s="5" t="n"/>
    </row>
    <row r="925" ht="15.75" customHeight="1" s="17">
      <c r="A925" s="5" t="n"/>
      <c r="B925" s="5" t="n"/>
      <c r="C925" s="5" t="n"/>
      <c r="D925" s="5" t="n"/>
      <c r="E925" s="5" t="n"/>
      <c r="F925" s="5" t="n"/>
      <c r="G925" s="5" t="n"/>
    </row>
    <row r="926" ht="15.75" customHeight="1" s="17">
      <c r="A926" s="5" t="n"/>
      <c r="B926" s="5" t="n"/>
      <c r="C926" s="5" t="n"/>
      <c r="D926" s="5" t="n"/>
      <c r="E926" s="5" t="n"/>
      <c r="F926" s="5" t="n"/>
      <c r="G926" s="5" t="n"/>
    </row>
    <row r="927" ht="15.75" customHeight="1" s="17">
      <c r="A927" s="5" t="n"/>
      <c r="B927" s="5" t="n"/>
      <c r="C927" s="5" t="n"/>
      <c r="D927" s="5" t="n"/>
      <c r="E927" s="5" t="n"/>
      <c r="F927" s="5" t="n"/>
      <c r="G927" s="5" t="n"/>
    </row>
    <row r="928" ht="15.75" customHeight="1" s="17">
      <c r="A928" s="5" t="n"/>
      <c r="B928" s="5" t="n"/>
      <c r="C928" s="5" t="n"/>
      <c r="D928" s="5" t="n"/>
      <c r="E928" s="5" t="n"/>
      <c r="F928" s="5" t="n"/>
      <c r="G928" s="5" t="n"/>
    </row>
    <row r="929" ht="15.75" customHeight="1" s="17">
      <c r="A929" s="5" t="n"/>
      <c r="B929" s="5" t="n"/>
      <c r="C929" s="5" t="n"/>
      <c r="D929" s="5" t="n"/>
      <c r="E929" s="5" t="n"/>
      <c r="F929" s="5" t="n"/>
      <c r="G929" s="5" t="n"/>
    </row>
    <row r="930" ht="15.75" customHeight="1" s="17">
      <c r="A930" s="5" t="n"/>
      <c r="B930" s="5" t="n"/>
      <c r="C930" s="5" t="n"/>
      <c r="D930" s="5" t="n"/>
      <c r="E930" s="5" t="n"/>
      <c r="F930" s="5" t="n"/>
      <c r="G930" s="5" t="n"/>
    </row>
    <row r="931" ht="15.75" customHeight="1" s="17">
      <c r="A931" s="5" t="n"/>
      <c r="B931" s="5" t="n"/>
      <c r="C931" s="5" t="n"/>
      <c r="D931" s="5" t="n"/>
      <c r="E931" s="5" t="n"/>
      <c r="F931" s="5" t="n"/>
      <c r="G931" s="5" t="n"/>
    </row>
    <row r="932" ht="15.75" customHeight="1" s="17">
      <c r="A932" s="5" t="n"/>
      <c r="B932" s="5" t="n"/>
      <c r="C932" s="5" t="n"/>
      <c r="D932" s="5" t="n"/>
      <c r="E932" s="5" t="n"/>
      <c r="F932" s="5" t="n"/>
      <c r="G932" s="5" t="n"/>
    </row>
    <row r="933" ht="15.75" customHeight="1" s="17">
      <c r="A933" s="5" t="n"/>
      <c r="B933" s="5" t="n"/>
      <c r="C933" s="5" t="n"/>
      <c r="D933" s="5" t="n"/>
      <c r="E933" s="5" t="n"/>
      <c r="F933" s="5" t="n"/>
      <c r="G933" s="5" t="n"/>
    </row>
    <row r="934" ht="15.75" customHeight="1" s="17">
      <c r="A934" s="5" t="n"/>
      <c r="B934" s="5" t="n"/>
      <c r="C934" s="5" t="n"/>
      <c r="D934" s="5" t="n"/>
      <c r="E934" s="5" t="n"/>
      <c r="F934" s="5" t="n"/>
      <c r="G934" s="5" t="n"/>
    </row>
    <row r="935" ht="15.75" customHeight="1" s="17">
      <c r="A935" s="5" t="n"/>
      <c r="B935" s="5" t="n"/>
      <c r="C935" s="5" t="n"/>
      <c r="D935" s="5" t="n"/>
      <c r="E935" s="5" t="n"/>
      <c r="F935" s="5" t="n"/>
      <c r="G935" s="5" t="n"/>
    </row>
    <row r="936" ht="15.75" customHeight="1" s="17">
      <c r="A936" s="5" t="n"/>
      <c r="B936" s="5" t="n"/>
      <c r="C936" s="5" t="n"/>
      <c r="D936" s="5" t="n"/>
      <c r="E936" s="5" t="n"/>
      <c r="F936" s="5" t="n"/>
      <c r="G936" s="5" t="n"/>
    </row>
    <row r="937" ht="15.75" customHeight="1" s="17">
      <c r="A937" s="5" t="n"/>
      <c r="B937" s="5" t="n"/>
      <c r="C937" s="5" t="n"/>
      <c r="D937" s="5" t="n"/>
      <c r="E937" s="5" t="n"/>
      <c r="F937" s="5" t="n"/>
      <c r="G937" s="5" t="n"/>
    </row>
    <row r="938" ht="15.75" customHeight="1" s="17">
      <c r="A938" s="5" t="n"/>
      <c r="B938" s="5" t="n"/>
      <c r="C938" s="5" t="n"/>
      <c r="D938" s="5" t="n"/>
      <c r="E938" s="5" t="n"/>
      <c r="F938" s="5" t="n"/>
      <c r="G938" s="5" t="n"/>
    </row>
    <row r="939" ht="15.75" customHeight="1" s="17">
      <c r="A939" s="5" t="n"/>
      <c r="B939" s="5" t="n"/>
      <c r="C939" s="5" t="n"/>
      <c r="D939" s="5" t="n"/>
      <c r="E939" s="5" t="n"/>
      <c r="F939" s="5" t="n"/>
      <c r="G939" s="5" t="n"/>
    </row>
    <row r="940" ht="15.75" customHeight="1" s="17">
      <c r="A940" s="5" t="n"/>
      <c r="B940" s="5" t="n"/>
      <c r="C940" s="5" t="n"/>
      <c r="D940" s="5" t="n"/>
      <c r="E940" s="5" t="n"/>
      <c r="F940" s="5" t="n"/>
      <c r="G940" s="5" t="n"/>
    </row>
    <row r="941" ht="15.75" customHeight="1" s="17">
      <c r="A941" s="5" t="n"/>
      <c r="B941" s="5" t="n"/>
      <c r="C941" s="5" t="n"/>
      <c r="D941" s="5" t="n"/>
      <c r="E941" s="5" t="n"/>
      <c r="F941" s="5" t="n"/>
      <c r="G941" s="5" t="n"/>
    </row>
    <row r="942" ht="15.75" customHeight="1" s="17">
      <c r="A942" s="5" t="n"/>
      <c r="B942" s="5" t="n"/>
      <c r="C942" s="5" t="n"/>
      <c r="D942" s="5" t="n"/>
      <c r="E942" s="5" t="n"/>
      <c r="F942" s="5" t="n"/>
      <c r="G942" s="5" t="n"/>
    </row>
    <row r="943" ht="15.75" customHeight="1" s="17">
      <c r="A943" s="5" t="n"/>
      <c r="B943" s="5" t="n"/>
      <c r="C943" s="5" t="n"/>
      <c r="D943" s="5" t="n"/>
      <c r="E943" s="5" t="n"/>
      <c r="F943" s="5" t="n"/>
      <c r="G943" s="5" t="n"/>
    </row>
    <row r="944" ht="15.75" customHeight="1" s="17">
      <c r="A944" s="5" t="n"/>
      <c r="B944" s="5" t="n"/>
      <c r="C944" s="5" t="n"/>
      <c r="D944" s="5" t="n"/>
      <c r="E944" s="5" t="n"/>
      <c r="F944" s="5" t="n"/>
      <c r="G944" s="5" t="n"/>
    </row>
    <row r="945" ht="15.75" customHeight="1" s="17">
      <c r="A945" s="5" t="n"/>
      <c r="B945" s="5" t="n"/>
      <c r="C945" s="5" t="n"/>
      <c r="D945" s="5" t="n"/>
      <c r="E945" s="5" t="n"/>
      <c r="F945" s="5" t="n"/>
      <c r="G945" s="5" t="n"/>
    </row>
    <row r="946" ht="15.75" customHeight="1" s="17">
      <c r="A946" s="5" t="n"/>
      <c r="B946" s="5" t="n"/>
      <c r="C946" s="5" t="n"/>
      <c r="D946" s="5" t="n"/>
      <c r="E946" s="5" t="n"/>
      <c r="F946" s="5" t="n"/>
      <c r="G946" s="5" t="n"/>
    </row>
    <row r="947" ht="15.75" customHeight="1" s="17">
      <c r="A947" s="5" t="n"/>
      <c r="B947" s="5" t="n"/>
      <c r="C947" s="5" t="n"/>
      <c r="D947" s="5" t="n"/>
      <c r="E947" s="5" t="n"/>
      <c r="F947" s="5" t="n"/>
      <c r="G947" s="5" t="n"/>
    </row>
    <row r="948" ht="15.75" customHeight="1" s="17">
      <c r="A948" s="5" t="n"/>
      <c r="B948" s="5" t="n"/>
      <c r="C948" s="5" t="n"/>
      <c r="D948" s="5" t="n"/>
      <c r="E948" s="5" t="n"/>
      <c r="F948" s="5" t="n"/>
      <c r="G948" s="5" t="n"/>
    </row>
    <row r="949" ht="15.75" customHeight="1" s="17">
      <c r="A949" s="5" t="n"/>
      <c r="B949" s="5" t="n"/>
      <c r="C949" s="5" t="n"/>
      <c r="D949" s="5" t="n"/>
      <c r="E949" s="5" t="n"/>
      <c r="F949" s="5" t="n"/>
      <c r="G949" s="5" t="n"/>
    </row>
    <row r="950" ht="15.75" customHeight="1" s="17">
      <c r="A950" s="5" t="n"/>
      <c r="B950" s="5" t="n"/>
      <c r="C950" s="5" t="n"/>
      <c r="D950" s="5" t="n"/>
      <c r="E950" s="5" t="n"/>
      <c r="F950" s="5" t="n"/>
      <c r="G950" s="5" t="n"/>
    </row>
    <row r="951" ht="15.75" customHeight="1" s="17">
      <c r="A951" s="5" t="n"/>
      <c r="B951" s="5" t="n"/>
      <c r="C951" s="5" t="n"/>
      <c r="D951" s="5" t="n"/>
      <c r="E951" s="5" t="n"/>
      <c r="F951" s="5" t="n"/>
      <c r="G951" s="5" t="n"/>
    </row>
    <row r="952" ht="15.75" customHeight="1" s="17">
      <c r="A952" s="5" t="n"/>
      <c r="B952" s="5" t="n"/>
      <c r="C952" s="5" t="n"/>
      <c r="D952" s="5" t="n"/>
      <c r="E952" s="5" t="n"/>
      <c r="F952" s="5" t="n"/>
      <c r="G952" s="5" t="n"/>
    </row>
    <row r="953" ht="15.75" customHeight="1" s="17">
      <c r="A953" s="5" t="n"/>
      <c r="B953" s="5" t="n"/>
      <c r="C953" s="5" t="n"/>
      <c r="D953" s="5" t="n"/>
      <c r="E953" s="5" t="n"/>
      <c r="F953" s="5" t="n"/>
      <c r="G953" s="5" t="n"/>
    </row>
    <row r="954" ht="15.75" customHeight="1" s="17">
      <c r="A954" s="5" t="n"/>
      <c r="B954" s="5" t="n"/>
      <c r="C954" s="5" t="n"/>
      <c r="D954" s="5" t="n"/>
      <c r="E954" s="5" t="n"/>
      <c r="F954" s="5" t="n"/>
      <c r="G954" s="5" t="n"/>
    </row>
    <row r="955" ht="15.75" customHeight="1" s="17">
      <c r="A955" s="5" t="n"/>
      <c r="B955" s="5" t="n"/>
      <c r="C955" s="5" t="n"/>
      <c r="D955" s="5" t="n"/>
      <c r="E955" s="5" t="n"/>
      <c r="F955" s="5" t="n"/>
      <c r="G955" s="5" t="n"/>
    </row>
    <row r="956" ht="15.75" customHeight="1" s="17">
      <c r="A956" s="5" t="n"/>
      <c r="B956" s="5" t="n"/>
      <c r="C956" s="5" t="n"/>
      <c r="D956" s="5" t="n"/>
      <c r="E956" s="5" t="n"/>
      <c r="F956" s="5" t="n"/>
      <c r="G956" s="5" t="n"/>
    </row>
    <row r="957" ht="15.75" customHeight="1" s="17">
      <c r="A957" s="5" t="n"/>
      <c r="B957" s="5" t="n"/>
      <c r="C957" s="5" t="n"/>
      <c r="D957" s="5" t="n"/>
      <c r="E957" s="5" t="n"/>
      <c r="F957" s="5" t="n"/>
      <c r="G957" s="5" t="n"/>
    </row>
    <row r="958" ht="15.75" customHeight="1" s="17">
      <c r="A958" s="5" t="n"/>
      <c r="B958" s="5" t="n"/>
      <c r="C958" s="5" t="n"/>
      <c r="D958" s="5" t="n"/>
      <c r="E958" s="5" t="n"/>
      <c r="F958" s="5" t="n"/>
      <c r="G958" s="5" t="n"/>
    </row>
    <row r="959" ht="15.75" customHeight="1" s="17">
      <c r="A959" s="5" t="n"/>
      <c r="B959" s="5" t="n"/>
      <c r="C959" s="5" t="n"/>
      <c r="D959" s="5" t="n"/>
      <c r="E959" s="5" t="n"/>
      <c r="F959" s="5" t="n"/>
      <c r="G959" s="5" t="n"/>
    </row>
    <row r="960" ht="15.75" customHeight="1" s="17">
      <c r="A960" s="5" t="n"/>
      <c r="B960" s="5" t="n"/>
      <c r="C960" s="5" t="n"/>
      <c r="D960" s="5" t="n"/>
      <c r="E960" s="5" t="n"/>
      <c r="F960" s="5" t="n"/>
      <c r="G960" s="5" t="n"/>
    </row>
    <row r="961" ht="15.75" customHeight="1" s="17">
      <c r="A961" s="5" t="n"/>
      <c r="B961" s="5" t="n"/>
      <c r="C961" s="5" t="n"/>
      <c r="D961" s="5" t="n"/>
      <c r="E961" s="5" t="n"/>
      <c r="F961" s="5" t="n"/>
      <c r="G961" s="5" t="n"/>
    </row>
    <row r="962" ht="15.75" customHeight="1" s="17">
      <c r="A962" s="5" t="n"/>
      <c r="B962" s="5" t="n"/>
      <c r="C962" s="5" t="n"/>
      <c r="D962" s="5" t="n"/>
      <c r="E962" s="5" t="n"/>
      <c r="F962" s="5" t="n"/>
      <c r="G962" s="5" t="n"/>
    </row>
    <row r="963" ht="15.75" customHeight="1" s="17">
      <c r="A963" s="5" t="n"/>
      <c r="B963" s="5" t="n"/>
      <c r="C963" s="5" t="n"/>
      <c r="D963" s="5" t="n"/>
      <c r="E963" s="5" t="n"/>
      <c r="F963" s="5" t="n"/>
      <c r="G963" s="5" t="n"/>
    </row>
    <row r="964" ht="15.75" customHeight="1" s="17">
      <c r="A964" s="5" t="n"/>
      <c r="B964" s="5" t="n"/>
      <c r="C964" s="5" t="n"/>
      <c r="D964" s="5" t="n"/>
      <c r="E964" s="5" t="n"/>
      <c r="F964" s="5" t="n"/>
      <c r="G964" s="5" t="n"/>
    </row>
    <row r="965" ht="15.75" customHeight="1" s="17">
      <c r="A965" s="5" t="n"/>
      <c r="B965" s="5" t="n"/>
      <c r="C965" s="5" t="n"/>
      <c r="D965" s="5" t="n"/>
      <c r="E965" s="5" t="n"/>
      <c r="F965" s="5" t="n"/>
      <c r="G965" s="5" t="n"/>
    </row>
    <row r="966" ht="15.75" customHeight="1" s="17">
      <c r="A966" s="5" t="n"/>
      <c r="B966" s="5" t="n"/>
      <c r="C966" s="5" t="n"/>
      <c r="D966" s="5" t="n"/>
      <c r="E966" s="5" t="n"/>
      <c r="F966" s="5" t="n"/>
      <c r="G966" s="5" t="n"/>
    </row>
    <row r="967" ht="15.75" customHeight="1" s="17">
      <c r="A967" s="5" t="n"/>
      <c r="B967" s="5" t="n"/>
      <c r="C967" s="5" t="n"/>
      <c r="D967" s="5" t="n"/>
      <c r="E967" s="5" t="n"/>
      <c r="F967" s="5" t="n"/>
      <c r="G967" s="5" t="n"/>
    </row>
    <row r="968" ht="15.75" customHeight="1" s="17">
      <c r="A968" s="5" t="n"/>
      <c r="B968" s="5" t="n"/>
      <c r="C968" s="5" t="n"/>
      <c r="D968" s="5" t="n"/>
      <c r="E968" s="5" t="n"/>
      <c r="F968" s="5" t="n"/>
      <c r="G968" s="5" t="n"/>
    </row>
    <row r="969" ht="15.75" customHeight="1" s="17">
      <c r="A969" s="5" t="n"/>
      <c r="B969" s="5" t="n"/>
      <c r="C969" s="5" t="n"/>
      <c r="D969" s="5" t="n"/>
      <c r="E969" s="5" t="n"/>
      <c r="F969" s="5" t="n"/>
      <c r="G969" s="5" t="n"/>
    </row>
    <row r="970" ht="15.75" customHeight="1" s="17">
      <c r="A970" s="5" t="n"/>
      <c r="B970" s="5" t="n"/>
      <c r="C970" s="5" t="n"/>
      <c r="D970" s="5" t="n"/>
      <c r="E970" s="5" t="n"/>
      <c r="F970" s="5" t="n"/>
      <c r="G970" s="5" t="n"/>
    </row>
    <row r="971" ht="15.75" customHeight="1" s="17">
      <c r="A971" s="5" t="n"/>
      <c r="B971" s="5" t="n"/>
      <c r="C971" s="5" t="n"/>
      <c r="D971" s="5" t="n"/>
      <c r="E971" s="5" t="n"/>
      <c r="F971" s="5" t="n"/>
      <c r="G971" s="5" t="n"/>
    </row>
    <row r="972" ht="15.75" customHeight="1" s="17">
      <c r="A972" s="5" t="n"/>
      <c r="B972" s="5" t="n"/>
      <c r="C972" s="5" t="n"/>
      <c r="D972" s="5" t="n"/>
      <c r="E972" s="5" t="n"/>
      <c r="F972" s="5" t="n"/>
      <c r="G972" s="5" t="n"/>
    </row>
    <row r="973" ht="15.75" customHeight="1" s="17">
      <c r="A973" s="5" t="n"/>
      <c r="B973" s="5" t="n"/>
      <c r="C973" s="5" t="n"/>
      <c r="D973" s="5" t="n"/>
      <c r="E973" s="5" t="n"/>
      <c r="F973" s="5" t="n"/>
      <c r="G973" s="5" t="n"/>
    </row>
    <row r="974" ht="15.75" customHeight="1" s="17">
      <c r="A974" s="5" t="n"/>
      <c r="B974" s="5" t="n"/>
      <c r="C974" s="5" t="n"/>
      <c r="D974" s="5" t="n"/>
      <c r="E974" s="5" t="n"/>
      <c r="F974" s="5" t="n"/>
      <c r="G974" s="5" t="n"/>
    </row>
    <row r="975" ht="15.75" customHeight="1" s="17">
      <c r="A975" s="5" t="n"/>
      <c r="B975" s="5" t="n"/>
      <c r="C975" s="5" t="n"/>
      <c r="D975" s="5" t="n"/>
      <c r="E975" s="5" t="n"/>
      <c r="F975" s="5" t="n"/>
      <c r="G975" s="5" t="n"/>
    </row>
    <row r="976" ht="15.75" customHeight="1" s="17">
      <c r="A976" s="5" t="n"/>
      <c r="B976" s="5" t="n"/>
      <c r="C976" s="5" t="n"/>
      <c r="D976" s="5" t="n"/>
      <c r="E976" s="5" t="n"/>
      <c r="F976" s="5" t="n"/>
      <c r="G976" s="5" t="n"/>
    </row>
    <row r="977" ht="15.75" customHeight="1" s="17">
      <c r="A977" s="5" t="n"/>
      <c r="B977" s="5" t="n"/>
      <c r="C977" s="5" t="n"/>
      <c r="D977" s="5" t="n"/>
      <c r="E977" s="5" t="n"/>
      <c r="F977" s="5" t="n"/>
      <c r="G977" s="5" t="n"/>
    </row>
    <row r="978" ht="15.75" customHeight="1" s="17">
      <c r="A978" s="5" t="n"/>
      <c r="B978" s="5" t="n"/>
      <c r="C978" s="5" t="n"/>
      <c r="D978" s="5" t="n"/>
      <c r="E978" s="5" t="n"/>
      <c r="F978" s="5" t="n"/>
      <c r="G978" s="5" t="n"/>
    </row>
    <row r="979" ht="15.75" customHeight="1" s="17">
      <c r="A979" s="5" t="n"/>
      <c r="B979" s="5" t="n"/>
      <c r="C979" s="5" t="n"/>
      <c r="D979" s="5" t="n"/>
      <c r="E979" s="5" t="n"/>
      <c r="F979" s="5" t="n"/>
      <c r="G979" s="5" t="n"/>
    </row>
    <row r="980" ht="15.75" customHeight="1" s="17">
      <c r="A980" s="5" t="n"/>
      <c r="B980" s="5" t="n"/>
      <c r="C980" s="5" t="n"/>
      <c r="D980" s="5" t="n"/>
      <c r="E980" s="5" t="n"/>
      <c r="F980" s="5" t="n"/>
      <c r="G980" s="5" t="n"/>
    </row>
    <row r="981" ht="15.75" customHeight="1" s="17">
      <c r="A981" s="5" t="n"/>
      <c r="B981" s="5" t="n"/>
      <c r="C981" s="5" t="n"/>
      <c r="D981" s="5" t="n"/>
      <c r="E981" s="5" t="n"/>
      <c r="F981" s="5" t="n"/>
      <c r="G981" s="5" t="n"/>
    </row>
    <row r="982" ht="15.75" customHeight="1" s="17">
      <c r="A982" s="5" t="n"/>
      <c r="B982" s="5" t="n"/>
      <c r="C982" s="5" t="n"/>
      <c r="D982" s="5" t="n"/>
      <c r="E982" s="5" t="n"/>
      <c r="F982" s="5" t="n"/>
      <c r="G982" s="5" t="n"/>
    </row>
    <row r="983" ht="15.75" customHeight="1" s="17">
      <c r="A983" s="5" t="n"/>
      <c r="B983" s="5" t="n"/>
      <c r="C983" s="5" t="n"/>
      <c r="D983" s="5" t="n"/>
      <c r="E983" s="5" t="n"/>
      <c r="F983" s="5" t="n"/>
      <c r="G983" s="5" t="n"/>
    </row>
    <row r="984" ht="15.75" customHeight="1" s="17">
      <c r="A984" s="5" t="n"/>
      <c r="B984" s="5" t="n"/>
      <c r="C984" s="5" t="n"/>
      <c r="D984" s="5" t="n"/>
      <c r="E984" s="5" t="n"/>
      <c r="F984" s="5" t="n"/>
      <c r="G984" s="5" t="n"/>
    </row>
    <row r="985" ht="15.75" customHeight="1" s="17">
      <c r="A985" s="5" t="n"/>
      <c r="B985" s="5" t="n"/>
      <c r="C985" s="5" t="n"/>
      <c r="D985" s="5" t="n"/>
      <c r="E985" s="5" t="n"/>
      <c r="F985" s="5" t="n"/>
      <c r="G985" s="5" t="n"/>
    </row>
    <row r="986" ht="15.75" customHeight="1" s="17">
      <c r="A986" s="5" t="n"/>
      <c r="B986" s="5" t="n"/>
      <c r="C986" s="5" t="n"/>
      <c r="D986" s="5" t="n"/>
      <c r="E986" s="5" t="n"/>
      <c r="F986" s="5" t="n"/>
      <c r="G986" s="5" t="n"/>
    </row>
    <row r="987" ht="15.75" customHeight="1" s="17">
      <c r="A987" s="5" t="n"/>
      <c r="B987" s="5" t="n"/>
      <c r="C987" s="5" t="n"/>
      <c r="D987" s="5" t="n"/>
      <c r="E987" s="5" t="n"/>
      <c r="F987" s="5" t="n"/>
      <c r="G987" s="5" t="n"/>
    </row>
    <row r="988" ht="15.75" customHeight="1" s="17">
      <c r="A988" s="5" t="n"/>
      <c r="B988" s="5" t="n"/>
      <c r="C988" s="5" t="n"/>
      <c r="D988" s="5" t="n"/>
      <c r="E988" s="5" t="n"/>
      <c r="F988" s="5" t="n"/>
      <c r="G988" s="5" t="n"/>
    </row>
    <row r="989" ht="15.75" customHeight="1" s="17">
      <c r="A989" s="5" t="n"/>
      <c r="B989" s="5" t="n"/>
      <c r="C989" s="5" t="n"/>
      <c r="D989" s="5" t="n"/>
      <c r="E989" s="5" t="n"/>
      <c r="F989" s="5" t="n"/>
      <c r="G989" s="5" t="n"/>
    </row>
    <row r="990" ht="15.75" customHeight="1" s="17">
      <c r="A990" s="5" t="n"/>
      <c r="B990" s="5" t="n"/>
      <c r="C990" s="5" t="n"/>
      <c r="D990" s="5" t="n"/>
      <c r="E990" s="5" t="n"/>
      <c r="F990" s="5" t="n"/>
      <c r="G990" s="5" t="n"/>
    </row>
    <row r="991" ht="15.75" customHeight="1" s="17">
      <c r="A991" s="5" t="n"/>
      <c r="B991" s="5" t="n"/>
      <c r="C991" s="5" t="n"/>
      <c r="D991" s="5" t="n"/>
      <c r="E991" s="5" t="n"/>
      <c r="F991" s="5" t="n"/>
      <c r="G991" s="5" t="n"/>
    </row>
    <row r="992" ht="15.75" customHeight="1" s="17">
      <c r="A992" s="5" t="n"/>
      <c r="B992" s="5" t="n"/>
      <c r="C992" s="5" t="n"/>
      <c r="D992" s="5" t="n"/>
      <c r="E992" s="5" t="n"/>
      <c r="F992" s="5" t="n"/>
      <c r="G992" s="5" t="n"/>
    </row>
    <row r="993" ht="15.75" customHeight="1" s="17">
      <c r="A993" s="5" t="n"/>
      <c r="B993" s="5" t="n"/>
      <c r="C993" s="5" t="n"/>
      <c r="D993" s="5" t="n"/>
      <c r="E993" s="5" t="n"/>
      <c r="F993" s="5" t="n"/>
      <c r="G993" s="5" t="n"/>
    </row>
    <row r="994" ht="15.75" customHeight="1" s="17">
      <c r="A994" s="5" t="n"/>
      <c r="B994" s="5" t="n"/>
      <c r="C994" s="5" t="n"/>
      <c r="D994" s="5" t="n"/>
      <c r="E994" s="5" t="n"/>
      <c r="F994" s="5" t="n"/>
      <c r="G994" s="5" t="n"/>
    </row>
    <row r="995" ht="15.75" customHeight="1" s="17">
      <c r="A995" s="5" t="n"/>
      <c r="B995" s="5" t="n"/>
      <c r="C995" s="5" t="n"/>
      <c r="D995" s="5" t="n"/>
      <c r="E995" s="5" t="n"/>
      <c r="F995" s="5" t="n"/>
      <c r="G995" s="5" t="n"/>
    </row>
    <row r="996" ht="15.75" customHeight="1" s="17">
      <c r="A996" s="5" t="n"/>
      <c r="B996" s="5" t="n"/>
      <c r="C996" s="5" t="n"/>
      <c r="D996" s="5" t="n"/>
      <c r="E996" s="5" t="n"/>
      <c r="F996" s="5" t="n"/>
      <c r="G996" s="5" t="n"/>
    </row>
    <row r="997" ht="15.75" customHeight="1" s="17">
      <c r="A997" s="5" t="n"/>
      <c r="B997" s="5" t="n"/>
      <c r="C997" s="5" t="n"/>
      <c r="D997" s="5" t="n"/>
      <c r="E997" s="5" t="n"/>
      <c r="F997" s="5" t="n"/>
      <c r="G997" s="5" t="n"/>
    </row>
    <row r="998" ht="15.75" customHeight="1" s="17">
      <c r="A998" s="5" t="n"/>
      <c r="B998" s="5" t="n"/>
      <c r="C998" s="5" t="n"/>
      <c r="D998" s="5" t="n"/>
      <c r="E998" s="5" t="n"/>
      <c r="F998" s="5" t="n"/>
      <c r="G998" s="5" t="n"/>
    </row>
    <row r="999" ht="15.75" customHeight="1" s="17">
      <c r="A999" s="5" t="n"/>
      <c r="B999" s="5" t="n"/>
      <c r="C999" s="5" t="n"/>
      <c r="D999" s="5" t="n"/>
      <c r="E999" s="5" t="n"/>
      <c r="F999" s="5" t="n"/>
      <c r="G999" s="5" t="n"/>
    </row>
    <row r="1000" ht="15.75" customHeight="1" s="17">
      <c r="A1000" s="5" t="n"/>
      <c r="B1000" s="5" t="n"/>
      <c r="C1000" s="5" t="n"/>
      <c r="D1000" s="5" t="n"/>
      <c r="E1000" s="5" t="n"/>
      <c r="F1000" s="5" t="n"/>
      <c r="G1000" s="5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7" min="1" max="1"/>
    <col width="81.56999999999999" customWidth="1" style="17" min="2" max="2"/>
    <col width="8.710000000000001" customWidth="1" style="17" min="3" max="4"/>
    <col width="161.71" customWidth="1" style="17" min="5" max="5"/>
    <col width="8.710000000000001" customWidth="1" style="17" min="6" max="8"/>
  </cols>
  <sheetData>
    <row r="1">
      <c r="A1" s="2" t="inlineStr">
        <is>
          <t>ID_темы</t>
        </is>
      </c>
      <c r="B1" s="2" t="inlineStr">
        <is>
          <t>Заголовок</t>
        </is>
      </c>
      <c r="C1" s="2" t="inlineStr">
        <is>
          <t>Slug</t>
        </is>
      </c>
      <c r="D1" s="2" t="inlineStr">
        <is>
          <t>Кластер</t>
        </is>
      </c>
      <c r="E1" s="2" t="inlineStr">
        <is>
          <t>Текст_статьи</t>
        </is>
      </c>
      <c r="F1" s="2" t="inlineStr">
        <is>
          <t>Кол-во_символов</t>
        </is>
      </c>
      <c r="G1" s="2" t="inlineStr">
        <is>
          <t>Статус</t>
        </is>
      </c>
      <c r="H1" s="2" t="inlineStr">
        <is>
          <t>Дата_создания</t>
        </is>
      </c>
      <c r="I1" s="5" t="n"/>
      <c r="J1" s="5">
        <f>MATCH(6, 'briefs_ТЗ'!A:A, 0)</f>
        <v/>
      </c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>
        <f>MATCH(1, A:A, 0)</f>
        <v/>
      </c>
    </row>
    <row r="2">
      <c r="A2" s="2" t="inlineStr">
        <is>
          <t>1.0</t>
        </is>
      </c>
      <c r="B2" s="2" t="inlineStr">
        <is>
          <t>Как паять паяльником: пошаговый гайд для начинающих</t>
        </is>
      </c>
      <c r="C2" s="2" t="inlineStr">
        <is>
          <t>kak-payat-payalnikom-dlya-nachinayuschih</t>
        </is>
      </c>
      <c r="D2" s="2" t="inlineStr">
        <is>
          <t>Основы пайки / Как паять</t>
        </is>
      </c>
      <c r="E2" s="2" t="inlineStr">
        <is>
          <t xml:space="preserve">---
title: "Как паять паяльником: пошаговый гайд для начинающих"
slug: "kak-payat-payalnikom-dlya-nachinayuschih"
meta_description: "Как правильно паять паяльником дома: выбор температуры, флюса, припоя ПОС-61 и пошаговый разбор 4 шагов идеального паяного контакта."
cluster: "Основы пайки / Как паять"
---
# Как паять паяльником: пошаговый гайд для начинающих
## Краткий ответ
Правильная пайка паяльником заключается в одновременном нагреве выводов детали и медной площадки платы с последующей подачей припоя в зону контакта. Ключевые условия качественного соединения: предварительно очищенное и залуженное жало, обязательное нанесение флюса (канифоль или жидкий ЛТИ-120) и использование трубчатого припоя ПОС-61 при температуре жала 280–320°C. Время контакта жала с деталью не должно превышать 2–3 секунд.
## Почему здесь часто ошибаются
Новичок смотрит на цену и берёт дешевый паяльник за 400 рублей без регулировки температуры. Жало раскаляется до 450–500°C, флюс сгорает и обугливается за секунду, а припой скатывается сухим матовым шариком и не липнет к плате. Дело не в отсутствии опыта: инструмент без термостабилизации мгновенно уничтожает химию процесса.
Обратная ошибка — сразу купить профессиональную станцию за 12 000–18 000 рублей, если паять нужно пару раз в год. Это деньги впустую: компактный смарт-паяльник с терморегулировкой за 2 500–4 000 рублей закрывает 95% задач в домашней мастерской.
## Что понадобится
**Для оценки выбора:**
- Понимание своих задач: пайка проводов в авто, сборка электроники на платах, SMD-компоненты или ремонт бытовой техники
- Бюджет: базовые паяльники с регулятором — 700–1 500 ₽; смарт-паяльники (Pinecil V2, TS101) — 2 500–4 000 ₽; паяльные станции T12 — 3 500–6 000 ₽
**Для самой пайки:**
- Паяльник или станция с регулировкой температуры (обязательно)
- Припой ПОС-61 с каналом канифоли внутри (диаметр 0,8–1,0 мм)
- Флюс — сосновая канифоль или нейтральный гель ЛТИ-120
- Подставка, латунная стружка для очистки жала или влажная губка
## Чем реально отличается пайка с термоконтролем от обычной
Обычный паяльник без регулятора непрерывно греется на максимуме, выжигая флюс и перегревая медные дорожки текстолита. Инструмент с PID-регулятором поддерживает заданные 300°C: при касании холодной детали электроника увеличивает подачу мощности, не давая жалу остыть.
Смарт-паяльник вроде Pinecil V2 или TS101 совмещает компактность и точность станции: PID-контроллер встроен прямо в ручку, а заземленный корпус USB-C защищает чувствительные микросхемы от статического электричества.
| Параметр | Паяльник без регулировки | Смарт-паяльник (Pinecil V2, TS101) | Паяльная станция (T12, KSGER) |
|---|---|---|---|
| Контроль температуры | Нет (разогрев до 450°C) | PID, точность ±5°C | PID, точность ±2°C |
| Наличие ESD-защиты | Нет | Через заземление USB-C | Полная (ручка + корпус) |
| Скорость нагрева | 3–5 минут | 10–15 секунд | 8–15 секунд |
| Тип используемых жал | Медный стержень / 900M | Картриджи T12 / TS | Картриджи T12 / C245 |
| Цена инструмента | 300–800 ₽ | 2 500–4 000 ₽ | 3 500–8 000 ₽ |
| Подходит для плат | Нет (высокий брак) | Да | Да |
## Пошаговая инструкция: как правильно паять
### Шаг 1. Очисти и залуди жало паяльника
Включи паяльник и установи температуру 300°C. Когда жало прогреется, опусти кончик в канифоль и коснись проволочки припоя. Кончик жала должен стать идеально блестящим и серебристым.
&gt; ✓ Индикатор: припой распределился по кончику жала ровной блестящей пленкой без черного нагара.
### Шаг 2. Нанеси флюс на место соединения
Вставь вывод детали в отверстие платы. Кисточкой или дозатором нанеси капли жидкого флюса ЛТИ-120 или геля прямо на медный пятачок и вывод.
&gt; ✓ Индикатор: флюс полностью смачивает и вывод детали, и медное кольцо на плате.
### Шаг 3. Нагрей контакт и подай припой
Прикоснись плоскостью жала одновременно к выводу детали и к площадке платы. Подержи 1–1.5 секунды для прогрева металла, затем поднеси проволоку припоя в точку контакта (не на само жало).
&gt; ✓ Индикатор: припой мгновенно плавится от тепла деталей и сам втягивается в отверстие платы.
### Шаг 4. Охлади контакт без движения
Убери проволоку припоя, через 0.5 секунды сними паяльник. Зафиксируй деталь на 2–3 секунды до полного застывания олова. Не дуй на шов.
&gt; ✓ Индикатор: сформировался гладкий блестящий конус припоя без трещин и шероховатостей.
## Интерактивная таблица выбора: задача → инструмент → бюджет
| Задача | Рекомендованный инструмент | Ориентировочный бюджет |
|---|---|---|
| Пайка проводов в авто, клемм, редкий ремонт | Смарт-паяльник TS101 или ЭПСН с регулятором | 1 200–3 500 ₽ |
| Сборка платок, радиокружок, хобби | Смарт-паяльник Pinecil V2 / станция T12 | 3 000–5 000 ₽ |
| Ремонт SMD-электроники, микросхем, телефонов | Паяльная станция T12 / C245 с термофеном | 6 000–12 000 ₽ |
## Частые ошибки
**Симптом:** Припой скатывается шариком с вывода и не растекается по медной площадке.  
**Причина:** Отсутствие флюса или сильное окисление меди. Без флюса оксидная пленка не дает олову вступить в диффузию с медью.  
**Решение:** Очистить деталь, обильно нанести канифоль или ЛТИ-120 и повторить нагрев.
**Симптом:** Медная дорожка отклеилась и отвалилась от текстолитового основания платы.  
**Причина:** Перегрев детали. Паяльник удерживался на контакте дольше 5 секунд или температура была выше 350°C.  
**Решение:** Работать при температуре 280–320°C и не держать жало на плате дольше 3 секунд.
## Безопасность
Никогда не кладите горячий паяльник на стол — используйте только подставку с металлической стружкой или губкой. Работайте в проветриваемом помещении или включайте вытяжку: пары флюса и канифоли при регулярном вдыхании раздражают дыхательные пути.
Если используете паяльную станцию, проверьте сопротивление между земляным контактом вилки 220В и жалом паяльника — оно должно быть ≤1 Ом. Это залог безопасности чувствительных микросхем.
## Итог и совет мастера
Главный секрет качественной пайки — это триада: температура 300°C, качественный флюс и припой ПОС-61. Если вы подбираете свой первый набор, загляните в подробный гид по [выбору паяльника для дома](/kakoj-payalnik-vybrat). А если вам интересно, как правильно подобрать сопутствующие материалы, прочитайте наше сравнение про [припои ПОС-61 и их аналоги](/pripoj-dlya-pajki-vidy).
А на чём паяете вы в своей мастерской? Поделитесь вашим сетапом в комментариях!
## FAQ
**Можно ли паять без флюса, используя только припой?**  
Нет, качественная пайка без флюса невозможна. Флюс растворяет оксидную пленку и снижает поверхностное натяжение припоя. Даже в проволочном припое с каналом канифоли часто требуется дополнительное нанесение жидкого флюса.
**Какая температура пайки считается оптимальной для радиодеталей?**  
Для стандартного свинцового припоя ПОС-61 оптимальная температура жала составляет 280–320°C. Для бессвинцовых припоев требуется 340–360°C.
**Чем залудить обгоревшее жало, если припой не липнет?**  
Очистите горячее жало о латунную стружку, погрузите в активатор жала (порошковый реаниматор) или канифоль с припоем и протрите влажной целлюлозной губкой.
</t>
        </is>
      </c>
      <c r="F2" s="2" t="n">
        <v>7075</v>
      </c>
      <c r="G2" s="2" t="inlineStr">
        <is>
          <t>поправлено прошло аудит</t>
        </is>
      </c>
      <c r="H2" s="10" t="n">
        <v>46248</v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>
        <v>2</v>
      </c>
    </row>
    <row r="3">
      <c r="A3" s="5" t="inlineStr">
        <is>
          <t>6.0</t>
        </is>
      </c>
      <c r="B3" s="5" t="inlineStr">
        <is>
          <t>Какой паяльник выбрать: советы для новичка в 2026 году</t>
        </is>
      </c>
      <c r="C3" s="5" t="inlineStr">
        <is>
          <t>kakoj-payalnik-vybrat</t>
        </is>
      </c>
      <c r="D3" s="5" t="inlineStr">
        <is>
          <t>Инструменты / Выбор паяльника</t>
        </is>
      </c>
      <c r="E3" s="5" t="inlineStr">
        <is>
          <t>--- title: "Какой паяльник выбрать: советы для новичка в 2026 году" slug: "kakoj-payalnik-vybrat" meta_description: "Гайд по выбору первого паяльника для дома: типы нагревателей (нихром, керамика, картриджи T12), мощность 60-80W, USB-C/PD смарт-паяльники (TS101, Pinecil V2) и паяльные станции." cluster: "Инструменты / Выбор паяльника" --- # Какой паяльник выбрать: советы для новичка в 2026 году ## Краткий ответ Для дома и старта в радиоэлектронике в 2026 году лучший выбор — смарт-паяльник с питанием от USB Type-C (TS101 или Pinecil V2) либо компактная паяльная станция на картриджах T12 (KSGER, Quicko). Они нагреваются за 8–10 секунд, точно держат температуру и безопасны для мелких компонентов. Обычные паяльники 220 В без регулировки температуры покупать не стоит: они перегревают детали, сжигают жало и флюс.</t>
        </is>
      </c>
      <c r="F3" s="5" t="n">
        <v>5820</v>
      </c>
      <c r="G3" s="5" t="inlineStr">
        <is>
          <t>Черновик</t>
        </is>
      </c>
      <c r="H3" s="11" t="n">
        <v>46245</v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5" t="n">
        <v>2</v>
      </c>
      <c r="B4" s="5" t="inlineStr">
        <is>
          <t>С чего начать пайку: что нужно новичку</t>
        </is>
      </c>
      <c r="C4" s="5" t="inlineStr">
        <is>
          <t>s-chego-nachat-pajku</t>
        </is>
      </c>
      <c r="D4" s="5" t="inlineStr">
        <is>
          <t>Основы пайки / Как паять</t>
        </is>
      </c>
      <c r="E4" s="5" t="inlineStr">
        <is>
          <t>--- title: "🔥 С чего начать пайку: выбираем стартовый набор и делаем первый идеальный спай" slug: "s-chego-nachat-pajku" meta_description: "Что нужно для первой пайки дома: паяльник, припой ПОС-61, флюс и пошаговая техника идеального спая." cluster: "Основы пайки / Стартовый набор" article_type: "guide" --- # 🔥 С чего начать пайку: выбираем стартовый набор и делаем первый идеальный спай *(Всего 4 вещи нужны для старта — разберём, зачем каждая)* ## Краткий ответ Чтобы начать паять дома прямо сейчас, вам не нужна дорогая паяльная станция за десятки тысяч рублей. Минимальный рабочий комплект состоит всего из четырёх позиций: паяльник мощностью 40–60 Вт с регулировкой температуры (или питанием от USB Type-C), оловянно-свинцовый припой ПОС-61, сосновая канифоль (или жидкий спиртоканифольный флюс СКФ) и латунная стружка для очистки жала. Главное правило новичка: не пытайтесь паять «сухим» жалом без флюса и не покупайте паяльники без терморегулятора на 220 В — они перегреваются до 400°C, сжигают флюс и портят дорожки на платах. ## 🧰 Что нужно купить для первого старта (и сколько это стоит) 1. Паяльник с регулировкой температуры (TS101, Pinecil V2 или станция T12). 2. Припой ПОС-61 (Sn60Pb40) 0.8–1.0 мм с флюсом внутри. 3. Флюс: сосновая канифоль (марка А) и жидкий СКФ. 4. Очиститель жала: латунная стружка и влажная губка. 5. Подставка для паяльника и ESD-пинцет.</t>
        </is>
      </c>
      <c r="F4" s="5" t="n">
        <v>6305</v>
      </c>
      <c r="G4" s="5" t="inlineStr">
        <is>
          <t>написано</t>
        </is>
      </c>
      <c r="H4" s="11" t="n">
        <v>46247</v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240" customHeight="1" s="17">
      <c r="A5" s="5" t="n">
        <v>3</v>
      </c>
      <c r="B5" s="5" t="inlineStr">
        <is>
          <t>Пайка проводов: как правильно соединить и изолировать</t>
        </is>
      </c>
      <c r="C5" s="5" t="inlineStr">
        <is>
          <t>pajka-provodov-kak-soedinit</t>
        </is>
      </c>
      <c r="D5" s="5" t="inlineStr">
        <is>
          <t>Основы пайки / Как паять</t>
        </is>
      </c>
      <c r="E5" s="5" t="inlineStr">
        <is>
          <t>---
title: "🔥 Пайка проводов: как правильно соединить, спаять и надежно изолировать"
slug: "pajka-provodov-kak-soedinit"
description: "Пошаговый гайд по пайке медных проводов: выбор скрутки (Western Union), флюс, припой ПОС-61, лужение и термоусадка."
date: "2026-08-15"
author: "Точка плавления"
cluster: "Основы пайки / Как паять"
article_id: 3
---
# 🔥 Пайка проводов: как правильно соединить, спаять и надежно изолировать
Пайка проводов кажется элементарной задачей, но именно на ней часто горят новички. Самая распространенная ошибка — попытка «приклеить» два провода каплей олова сверху, не сделав плотной механической скрутки и не прогрев медь. Соединение получается рыхлым, быстро окисляется и отламывается от малейшей вибрации.
В этой инструкции мы разберем надежную технологию соединения многожильных и одножильных медных проводов, которая обеспечивает отличный электрический контакт и высокую механическую прочность.
---
## 📌 Краткий ответ: базовый алгоритм надежной пайки
Чтобы спаять два медных провода правильно и на десятилетия:
1. **Снимите изоляцию** на 20–25 мм и обязательно **наденьте термоусадку** на один из проводов до начала пайки.
2. **Сделайте плотную скрутку** (встречную *Western Union* для сращивания встык или параллельную для тупиковых ответвлений).
3. **Нанесите нейтральный флюс** (канифоль, СКФ или RMA-гель). Кислотные флюсы для многожильных проводов строго исключены.
4. **Прогрейте медь паяльником** (280–310°C) с каплей припоя ПОС-61 на жале для теплового контакта, затем подайте припой прямо на скрутку.
5. **Очистите остатки флюса** спиртом и осадите термоусадочную трубку с клеевым слоем.
👉 **Главный секрет мастера:** припой всегда бежит туда, где выше температура. Прогревайте саму медь, и расплав за счет капиллярных сил мгновенно втянется внутрь витков.
---
## 🧰 Что понадобится для работы
* **Паяльник:** мощность 40–65 Вт с термоконтролем (или смарт-паяльник TS101 / Pinecil). Рабочая температура жала — **280–310°C**.
* **Жало:** скошенное (Bevel) или плоская «отвертка» (2,0–3,2 мм). Тонкая коническая игла не прогреет провод из-за малой площади контакта.
* **Припой:** трубчатый легкоплавкий **ПОС-61** (Sn60Pb40) диаметром 0,8–1,0 мм с каналом канифоли внутри. Температура плавления — **183°C**.
* **Флюс:** спиртоканифольный нейтральный флюс (СКФ, ЛТИ-120) или флюс-гель RMA.
* **Изоляция:** термоусадочная трубка (ТУТ) с термоплавким клеем (коэффициент усадки 3:1).
* **Инструмент:** стриппер для зачистки, бокорезы, монтажный фен или зажигалка.
---
## 🔬 Физика процесса: почему пайка держится крепко
Медь на открытом воздухе покрыта тонкой оксидной пленкой CuO, препятствующей смачиванию. Флюс при нагреве растворяет оксиды, а расплавленный припой ПОС-61 образует с медью прочный интерметаллический слой Cu6Sn5.
Капиллярный эффект затягивает жидкий припой в зазоры между отдельными волосками жилы, превращая скрутку в единый монолит. Однако помните: пайка делает многожильный провод жестким. Механическую нагрузку на растяжение должна нести скрутка, а место перехода от жесткого припоя к гибкому проводу защищает термоусадочная трубка.
---
## 🪜 Пошаговая инструкция: от зачистки до термоусадки
### Шаг 1. 🔍 Подготовка жил и термоусадки
1. Снимите изоляцию на 20–30 мм стриппером, стараясь не перекусить тонкие медные жилки.
2. **Обязательно наденьте отрезок термоусадки** на один из проводов и сдвиньте его на 10–15 см от места пайки.
**Важно:** если не надеть термоусадку сейчас, после спайки проводов смонтировать ее уже не получится.
**✓ Индикатор успеха:** медь чистая, без надрезанных волосков, термоусадка отведена на безопасное расстояние от зоны нагрева.
---
### Шаг 2. 🌀 Выполнение плотной механической скрутки
* **Встречная скрутка (Western Union):** скрестите зачищенные концы под углом 90° и плотно навейте каждый провод вокруг соседнего (по 5–6 витков в каждую сторону). Это самое прочное соединение на разрыв.
* **Параллельная скрутка:** соедините провода параллельно и скрутите косичкой с помощью пассатижей.
**✓ Индикатор успеха:** витки лежат плотно, без торчащих проволочек, скрутка не расплетается при натяжении руками.
---
### Шаг 3. 🧪 Нанесение флюса
Нанесите 1–2 капли спиртоканифольного флюса (СКФ) или геля RMA на всю длину скрутки, чтобы жидкость проникла между жилами.
**✓ Индикатор успеха:** флюс равномерно смочил медь, при нагреве пахнет чистой сосновой смолой без едкого дыма.
---
### Шаг 4. ⏳ Прогрев и капиллярная пайка
1. Установите температуру паяльника на **290–300°C**.
2. Возьмите на кончик жала крошечную каплю припоя для создания «теплового мостика».
3. Прижмите жало к нижней части скрутки на 1,5–2 секунды, а пруток ПОС-61 подайте сверху.
4. Расплавленный припой сам втянется внутрь скрутки и равномерно зальет все витки.
5. Уберите припой, затем паяльник и дайте спаю остыть 3–4 секунды без малейших движений.
**Важно:** не дуйте на спай и не двигайте провода во время остывания, чтобы не вызвать микротрещины («холодная пайка»).
**✓ Индикатор успеха:** спай имеет чистый зеркальный блеск, витки скрутки просматриваются под тонким слоем припоя без комков и сосулек.
---
### Шаг 5. 🛡️ Очистка и изоляция термоусадкой
1. Протрите остывший спай спиртом для удаления остатков канифоли.
2. Надвиньте термоусадочную трубку так, чтобы она перекрывала изоляцию на 15–20 мм с обеих сторон.
3. Прогрейте трубку феном (120–140°C) от центра к краям до полной усадки.
**✓ Индикатор успеха:** термоусадка плотно обжала провод, клей выступил по краям тонким аккуратным валиком.
---
## ❌ Частые ошибки новичков при пайке проводов
* **Использование паяльной кислоты:**
  * **Симптом:** провод залудился мгновенно, но через пару месяцев медь позеленела и отвалилась.
  * **Физическая причина:** кислота по капиллярам затягивается под изоляцию на 3–5 см и разъедает медь изнутри.
  * **Что делать:** для проводов используйте только нейтральные флюсы (канифоль, СКФ, RMA).
* **Недостаточный прогрев («холодная пайка»):**
  * **Симптом:** припой лег рыхлым серым комком и отваливается от легкого рывка.
  * **Физическая причина:** жало грело только каплю припоя, а медь осталась холодной.
  * **Что делать:** прогревайте скрутку широкой гранью жала 1,5–2 секунды перед подачей прутка.
* **Перегрев изоляции:**
  * **Симптом:** штатная изоляция почернела и сползла.
  * **Физическая причина:** слишком долгое удержание паяльника (&gt;5 сек) или температура выше 350°C.
  * **Что делать:** паяйте быстро при температуре 290–300°C с качественным легкоплавким ПОС-61.
---
## ⚠️ Безопасность при работе
* **Вентиляция:** пары канифоли и спирта раздражают дыхательные пути. Работайте в проветриваемом помещении.
* **Защита глаз:** при откусывании жилок бокорезами надевайте защитные очки.
* **Гигиена:** после работы со свинцовым припоем ПОС-61 обязательно мойте руки с мылом.
---
## 💡 Секреты и тонкости мастера
1. **Тепловой мостик:** сухое жало передает тепло медленно. Микрокапля припоя на кончике жала в разы увеличивает площадь контакта.
2. **Ступенчатый стык в жгуте:** при пайке кабеля из нескольких жил смещайте места скруток на 15–20 мм. Жгут останется ровным и не образует толстой «шишки».
3. **Клеевая термоусадка:** в автомобиле и во влажных помещениях применяйте только термоусадку с клеем — она обеспечивает 100% герметичность.
---
## 🎯 Итог и совет мастера
**Совет мастера:** Пайка — это не лотерея и не тайная магия, а чистая физика смачивания и теплопередачи. Как только вы поймёте, как ведёт себя расплавленный припой и зачем металлу нужен флюс, надежные блестящие соединения начнут получаться сами собой с первого раза.
Качественная механическая скрутка, нейтральный флюс, быстрый прогрев припоем ПОС-61 и термоусадка с клеем — вот формула вечного соединения проводов. 
Для продолжения практики изучите наш [базовый гайд по пайке для начинающих](/kak-payat-payalnikom-dlya-nachinayuschih), узнайте, как выбрать [припой для медных жил](/pripoj-dlya-pajki-vidy), и посмотрите правила, по которым делается [изоляция термоусадкой после пайки](/termousadka-posle-pajki).
А какой способ соединения проводов чаще используете вы — пайку со скруткой, клеммы WAGO или опрессовку гильзами? Поделитесь вашим опытом в комментариях!
---
## ❓ Часто задаваемые вопросы (FAQ)
### Можно ли паять алюминиевый провод с медным?
Напрямую обычной пайкой с ПОС-61 и канифолью соединить медь с алюминием нельзя: образуется гальваническая пара, и алюминий быстро разрушится. Для перехода используются специальные клеммники с пастой или луженые медно-алюминиевые гильзы.
### Что надежнее в автопроводке — пайка или обжимка?
Опрессовка в гильзы предпочтительнее в местах с сильной вибрацией, так как провод сохраняет гибкость. Однако аккуратная пайка со встречной скруткой и длинной клеевой термоусадкой служит десятилетиями, если провод зафиксирован в жгуте стяжками.
### Обязательно ли смывать канифоль со спаянных проводов?
Канифоль — диэлектрик и не разъедает медь, но со временем на нее оседает пыль и влага. Промывка изопропиловым спиртом перед надеванием термоусадки гарантирует абсолютную чистоту контакта.</t>
        </is>
      </c>
      <c r="F5" s="5" t="n">
        <v>9031</v>
      </c>
      <c r="G5" s="5" t="inlineStr">
        <is>
          <t>написано</t>
        </is>
      </c>
      <c r="H5" s="11" t="n">
        <v>46249</v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7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7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7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7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7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7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7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7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7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7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7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7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7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7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7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7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7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7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7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7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7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7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7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7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7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7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7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7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7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7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7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7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7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7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7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7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7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7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7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7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7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7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7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7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7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7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7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7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7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7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7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7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7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7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7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7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7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7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7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7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7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7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7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7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7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7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7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7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7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7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7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7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7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7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7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7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7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7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7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7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7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7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7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7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7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7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7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7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7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7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7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7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7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7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7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7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7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7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7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7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7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7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7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7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7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7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7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7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7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7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7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7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7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7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7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7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7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7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7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7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7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7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7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7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7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7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7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7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7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7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7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7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7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7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7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7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7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7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7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7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7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7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7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7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7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7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7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7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7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7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7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7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7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7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7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7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7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7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7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7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7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7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7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7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7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7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7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7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7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7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7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7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7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7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7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7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7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7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7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7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7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7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7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7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7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7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7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7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7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7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7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7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7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7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7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7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7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7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7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7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7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7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7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7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7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7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7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7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7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7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7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7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7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7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7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7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7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7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7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7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7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7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7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7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7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17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17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17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17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17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17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1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17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17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17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17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17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17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17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17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17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1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17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17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17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17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17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17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17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17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17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1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17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17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17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17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17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17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17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17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17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1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17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17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17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17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17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17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17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17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17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17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17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17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17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17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17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17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17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17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1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17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17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17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17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17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17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17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17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17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1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17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17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17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17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17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17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17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17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17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1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17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17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17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17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17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17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17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17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17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1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17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17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17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17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17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17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17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17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17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1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17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17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17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17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17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17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17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17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17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1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17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17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17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17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17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17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17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17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17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1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17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17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17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17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17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17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17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17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17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1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17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17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17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17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17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17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17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17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17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1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17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17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17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17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17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17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17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17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17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17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17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17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17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17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17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17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17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17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1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17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17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17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17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17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17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17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17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17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1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17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17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17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17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17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17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17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17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17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1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17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17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17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17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17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17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17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17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17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1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17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17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17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17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17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17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17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17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17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1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17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17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17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17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17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17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17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17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17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1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17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17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17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17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17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17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17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17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17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1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17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17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17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17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17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17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17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17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17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1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17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17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17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17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17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17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17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17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17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1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17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17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17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17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17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17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17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17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17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17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17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17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17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17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17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17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17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17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1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17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17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17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17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17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17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17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17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17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1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17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17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17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17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17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17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17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17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17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1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17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17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17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17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17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17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17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17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17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1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17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17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17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17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17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17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17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17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17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1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17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17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17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17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17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17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17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17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17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1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17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17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17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17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17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17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17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17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17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1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17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17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17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17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17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17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17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17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17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1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17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17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17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17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17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17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17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17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17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1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17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17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17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17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17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17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17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17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17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17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17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17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17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17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17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17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17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17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1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17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17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17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17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17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17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17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17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17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1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17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17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17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17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17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17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17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17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17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1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17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17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17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17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17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17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17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17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17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1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17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17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17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17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17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17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17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17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17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1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17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17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17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17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17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17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17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17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17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1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17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17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17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17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17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17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17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17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17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1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17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17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17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17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17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17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17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17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17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1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17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17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17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17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17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17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17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17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17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1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17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17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17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17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17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17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17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17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17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17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17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17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17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17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17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17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17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17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1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17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17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17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17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17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17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17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17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17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1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17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17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17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17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17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17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17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17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17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1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17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17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17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17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17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17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17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17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17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1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17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17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17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17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17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17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17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17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17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1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17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17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17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17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17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17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17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17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17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1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17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17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17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17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17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17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17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17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17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1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17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17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17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17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17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17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17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17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17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1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17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17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17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17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17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17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17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17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17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1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17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17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17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17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17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17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17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17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17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17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17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17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17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17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17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17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17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17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1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17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17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17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17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17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17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17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17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17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1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17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17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17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17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17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17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17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17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17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1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17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17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17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17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17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17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17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17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17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1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17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17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17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17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17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17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17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17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17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1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17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17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17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17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17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17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17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17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17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1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17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17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17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17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17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17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17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17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17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1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17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17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17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17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17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17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17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17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17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1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17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17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17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17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17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17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17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17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17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1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17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17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17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17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17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17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17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17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17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17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17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17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17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17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17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17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17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17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1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17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17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17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17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17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17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17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17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17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1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17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17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17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17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17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17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17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17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17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1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17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17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17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17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17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17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17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17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17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1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17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17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17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17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17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17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17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17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17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1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17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17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17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17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17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17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17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17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17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1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17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17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17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17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17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17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17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17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17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1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17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17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17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17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17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17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17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17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17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1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17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17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17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  <row r="1001">
      <c r="A1001" s="0" t="n">
        <v>4</v>
      </c>
      <c r="B1001" s="0" t="inlineStr">
        <is>
          <t>Как научиться паять быстро и без брака</t>
        </is>
      </c>
      <c r="C1001" s="0" t="inlineStr">
        <is>
          <t>kak-nauchitsya-payat-bystro</t>
        </is>
      </c>
      <c r="D1001" s="0" t="inlineStr">
        <is>
          <t>Основы пайки / Как паять</t>
        </is>
      </c>
      <c r="E1001" s="0" t="inlineStr">
        <is>
          <t>---
title: "⚡ Как научиться паять быстро и без брака: система тренировки для начинающих"
slug: "kak-nauchitsya-payat-bystro"
meta_description: "Освойте базовую технику пайки за 3 практических упражнения: правильный хват паяльника, лужение дорожек, контроль времени прогрева и дозирование припоя."
date: "2026-10-04"
author: "Точка плавления"
cluster: "Основы пайки / Как паять"
article_id: 4
---
# ⚡ Как научиться паять быстро и без брака: система тренировки для начинающих
## 📌 Краткий ответ
Чтобы научиться паять быстро и без брака, не нужно сжигать десятки случайных плат. Мастерство пайки строится на трёх базовых навыках: температуре жала (280–300 °C для ПОС-61), времени контакта (2–3 секунды) и понимании простого правила: **припой всегда бежит туда, где выше температура и где есть свежий флюс**.
Освоить эти навыки помогают 3 прикладных упражнения: сборка проволочного куба, монтаж DIP-резисторов на макетной плате и скоростная пайка площадок по таймеру. Потратив на них пару вечеров, вы поставите руку и избавитесь от холодных спаев и перегрева деталей.
---
## 🧰 Минимальный тренировочный набор
Для тренировки достаточно базового комплекта:
* **Паяльник с термоконтролем:** Керамический нагреватель или картридж T12 (40–65 Вт). Паяльники без термостата разогреваются выше 380 °C и пережигают флюс.
* **Припой:** Трубчатый ПОС-61 (Sn60Pb40) диаметром 0,8 мм с каналом канифоли внутри (температура плавления 183 °C).
* **Флюс:** Спиртоканифольный флюс СКФ или ЛТИ-120, а также брусок сосновой канифоли.
* **Жало:** Скошенный клин (тип D или BC2 шириной 1,5–2 мм) с хорошей теплоотдачей.
* **Материалы для тренировки:** 2 метра медного провода 0,75–1,0 мм² без изоляции и макетная плата под пайку с шагом 2,54 мм.
* **Оснастка:** Пинцет, бокорезы, влажная губка и подставка с латунной стружкой.
---
## 🔬 Физика контакта и тайминг: почему припой не липнет
Припой подчиняется законам смачивания и капиллярного притяжения. Если деталь холоднее точки плавления сплава, расплав сворачивается в круглую каплю.
Кажется мелочью, но именно на этом горят девять новичков из десяти: вместо прогрева деталей они несут каплю припоя на весу. В воздухе летучий флюс сгорает за секунду, олово окисляется, и в контакт попадает рыхлый серый ком.
**Физический закон спая:**
1. Флюс убирает оксидную плёнку и защищает медь от кислорода.
2. Жало греет одновременно площадку и вывод (1–1,5 секунды).
3. Припой подаётся в место контакта деталей, а не на кончик жала.
4. Расплав втягивается в зазор за счёт поверхностного натяжения, образуя вогнутый блестящий мениск.
---
## 🪜 3 практических упражнения для постановки руки
### Шаг 1. 🔍 Упражнение 1: Проволочный куб (осваиваем капиллярный эффект)
Классическое упражнение радиомонтажников для тренировки баланса тепла:
1. Нарежьте медный провод на 12 отрезков по 40 мм и протрите спиртом.
2. Нанесите каплю СКФ и залудите кончики заготовок тонким слоем припоя.
3. Спаяйте две плоские рамки 40×40 мм. Сведите проводники под прямым углом, коснитесь стыка жалом на 1 секунду и поднесите припой. И выглядит это почти как маленькое чудо: припой сам обволакивает стык в ровную каплю.
4. Соедините рамки четырьмя перемычками в трёхмерный куб.
👉 **✓ Индикатор успеха:** Все 8 углов куба имеют гладкие галтели с зеркальным блеском, каркас держит форму, а снизу нет застывших свисающих сосулек.
---
### Шаг 2. 🧪 Упражнение 2: Монтаж DIP-компонентов на плате
Учимся беречь контактные площадки текстолита от отслоения:
1. Вставьте в отверстия макетной платы ряд из 10 резисторов и подогните выводы.
2. Нанесите кисточкой жидкий флюс на дорожки.
3. Приложите срез жала так, чтобы коснуться пятачка платы и ножки детали.
4. Прогрейте контакт 1,5 секунды, подайте проволоку припоя в стык с другой стороны и снимите жало движением вверх.
5. Не дуйте на спай и дайте ему застыть неподвижно.
👉 **✓ Индикатор успеха:** Вокруг ножки образуется ровный вогнутый конус припоя с контуром вывода внутри. Медный пятачок не потемнел и прочно держится на текстолите.
---
### Шаг 3. ⏳ Упражнение 3: Пайка контактных площадок за 2 секунды
Автоматизируем тайминг для безопасной пайки полупроводников:
1. Разметьте на макетке цепочку из 20 пятачков.
2. Отработайте единый ритм: секунда 0 — касание жалом; секунда 1 — подача припоя; секунда 2 — отрыв жала.
3. Пройдите всю цепочку без пауз.
👉 **✓ Индикатор успеха:** Все 20 точек идентичны по форме, напоминают миниатюрные вулканы без наплывов и чёрного нагара вокруг.
---
## ❌ Частые ошибки начинающих и их физические последствия
* **Перенос припоя на весу на сухом жале**
  * **Симптом:** Припой скатывается, спай матовый и бугристый.
  * **Физическая причина:** Флюс выгорает в воздухе, окисляя олово до контакта с медью.
  * **Что делать:** Подавать пруток припоя прямо в разогретую точку стыка.
* **Чрезмерное силовое давление на жало**
  * **Симптом:** Отслоение медной фольги от платы.
  * **Физическая причина:** Теплопередача зависит от площади контакта и термомоста припоя, а не от силы нажима.
  * **Что делать:** Вместо того чтобы судорожно давить жалом на плату, добавьте микрокаплю припоя на жало для теплового мостика.
* **Прогрев дольше 4–5 секунд**
  * **Симптом:** Пузыри на плате, отрыв дорожек, перегрев радиодеталей.
  * **Физическая причина:** Клей текстолита разрушается при температуре выше 260 °C уже через 4 секунды.
  * **Что делать:** Если контакт не сформировался за 3 секунды, уберите паяльник, дайте остыть 15 секунд, добавьте флюс и повторите.
---
## ⚠️ Безопасность при интенсивной тренировке
* **Вентиляция:** Пары канифоли при долгой тренировке раздражают дыхательные пути. Используйте вытяжку или проветривайте рабочее место.
* **Защитные очки:** Обрезки выводов от бокорезов отлетают с высокой скоростью. Защищайте глаза.
* **Гигиена:** ПОС-61 содержит свинец. Мойте руки с мылом после пайки и не держите еду на верстаке.
---
## 💡 Секреты мастера для идеальной скорости
* **Следите за зеркалом жала:** Каждые 5–7 паек очищайте кончик о влажную губку или латунную стружку. Чистое жало должно зеркально блестеть.
* **Тонкий припой:** Диаметр 0,8 мм позволяет точно дозировать металл, в отличие от толстой проволоки 1,5 мм.
* **Тепловой мостик:** Микрокапля расплавленного припоя на жале увеличивает площадь контакта и ускоряет прогрев детали вдвое.
---
## 🎯 Итог и совет мастера
**Совет мастера:** Пайка — это не лотерея и не тайная магия, а чистая физика смачивания и теплопередачи. Как только вы поймёте, как ведёт себя расплавленный припой и зачем металлу нужен флюс, надежные блестящие соединения начнут получаться сами собой с первого раза.
Практика на простых макетках закрепляет мышечную память надёжнее сотен видеороликов. Освоив базовый [пошаговый алгоритм](/kak-payat-payalnikom-dlya-nachinayuschih), вы легко исключите типичные [причины брака](/oshibki-novichka-pri-pajke) и вовремя освоите правильное [лужение жала](/kak-chistit-i-ludit-zhalo).
Какое упражнение помогло вам быстрее всего поставить руку при пайке? Делитесь опытом в комментариях!
---
## ❓ Часто задаваемые вопросы (FAQ)
### Сколько секунд нужно держать паяльник на контакте?
Для свинцового припоя ПОС-61 норма — 2–3 секунды при 280–300 °C. Для массивных деталей время увеличивают до 4 секунд.
### Почему припой сворачивается в шарик и не липнет?
Причина в оксидной плёнке или холодном металле. Нанесите свежий флюс и убедитесь, что жало греет саму деталь.
### Можно ли начинать учиться сразу на бессвинцовом припое?
Нежелательно. Сплавы без свинца (SAC305) требуют 330–350 °C, быстрее окисляются и дают матовый шов, усложняя контроль качества для новичка.</t>
        </is>
      </c>
      <c r="F1001" s="0" t="n">
        <v>7565</v>
      </c>
      <c r="G1001" s="0" t="inlineStr">
        <is>
          <t>написано</t>
        </is>
      </c>
      <c r="H1001" s="0" t="inlineStr">
        <is>
          <t>2026-10-04</t>
        </is>
      </c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7" min="1" max="1"/>
    <col width="55.57" customWidth="1" style="17" min="2" max="2"/>
    <col width="8.710000000000001" customWidth="1" style="17" min="3" max="4"/>
    <col width="74.43000000000001" customWidth="1" style="17" min="5" max="5"/>
    <col width="30.43" customWidth="1" style="17" min="6" max="6"/>
    <col width="26" customWidth="1" style="17" min="7" max="7"/>
    <col width="8.710000000000001" customWidth="1" style="17" min="8" max="8"/>
    <col width="45.29" customWidth="1" style="17" min="9" max="9"/>
    <col width="30.86" customWidth="1" style="17" min="10" max="10"/>
    <col width="8.710000000000001" customWidth="1" style="17" min="11" max="16"/>
  </cols>
  <sheetData>
    <row r="1">
      <c r="A1" s="2" t="inlineStr">
        <is>
          <t>ID_темы</t>
        </is>
      </c>
      <c r="B1" s="2" t="inlineStr">
        <is>
          <t>Заголовок</t>
        </is>
      </c>
      <c r="C1" s="2" t="inlineStr">
        <is>
          <t>Slug</t>
        </is>
      </c>
      <c r="D1" s="2" t="inlineStr">
        <is>
          <t>Кластер</t>
        </is>
      </c>
      <c r="E1" s="2" t="inlineStr">
        <is>
          <t>Приоритет</t>
        </is>
      </c>
      <c r="F1" s="2" t="inlineStr">
        <is>
          <t>Планируемая_дата_публикации</t>
        </is>
      </c>
      <c r="G1" s="2" t="inlineStr">
        <is>
          <t>Интент_и_Этап_Воронки</t>
        </is>
      </c>
      <c r="H1" s="2" t="inlineStr">
        <is>
          <t>Боль_и_Психология_Читателя</t>
        </is>
      </c>
      <c r="I1" s="2" t="inlineStr">
        <is>
          <t>GEO_Сниппет_Шаблон</t>
        </is>
      </c>
      <c r="J1" s="2" t="inlineStr">
        <is>
          <t>E-E-A-T_Фактура</t>
        </is>
      </c>
      <c r="K1" s="2" t="inlineStr">
        <is>
          <t>Внедряемая_Фишечка</t>
        </is>
      </c>
      <c r="L1" s="2" t="inlineStr">
        <is>
          <t>LSI_и_Сущности</t>
        </is>
      </c>
      <c r="M1" s="2" t="inlineStr">
        <is>
          <t>Перелинковка_Исходящая</t>
        </is>
      </c>
      <c r="N1" s="2" t="inlineStr">
        <is>
          <t>Призыв_к_Диалогу</t>
        </is>
      </c>
      <c r="O1" s="2" t="inlineStr">
        <is>
          <t>Статус_ТЗ</t>
        </is>
      </c>
      <c r="P1" s="2" t="inlineStr">
        <is>
          <t>Дата_создания_ТЗ</t>
        </is>
      </c>
      <c r="Q1" s="5" t="inlineStr">
        <is>
          <t>Ответственный_бот</t>
        </is>
      </c>
      <c r="R1" s="5" t="inlineStr">
        <is>
          <t>Следующее_действие</t>
        </is>
      </c>
      <c r="S1" s="5" t="inlineStr">
        <is>
          <t>Факты_подтверждены</t>
        </is>
      </c>
      <c r="T1" s="5" t="inlineStr">
        <is>
          <t>Оценка_пользы_0_100</t>
        </is>
      </c>
      <c r="U1" s="5" t="inlineStr">
        <is>
          <t>Контентный_пробел</t>
        </is>
      </c>
      <c r="V1" s="5" t="n"/>
      <c r="W1" s="5" t="n"/>
      <c r="X1" s="5" t="n"/>
      <c r="Y1" s="5" t="n"/>
      <c r="Z1" s="5">
        <f>MATCH(1, A:A, 0)</f>
        <v/>
      </c>
    </row>
    <row r="2">
      <c r="A2" s="2" t="inlineStr">
        <is>
          <t>1.0</t>
        </is>
      </c>
      <c r="B2" s="2" t="inlineStr">
        <is>
          <t>Как паять паяльником: пошаговый гайд для начинающих</t>
        </is>
      </c>
      <c r="C2" s="2" t="inlineStr">
        <is>
          <t>kak-payat-payalnikom-dlya-nachinayuschih</t>
        </is>
      </c>
      <c r="D2" s="2" t="inlineStr">
        <is>
          <t>Основы пайки / Как паять</t>
        </is>
      </c>
      <c r="E2" s="2" t="inlineStr">
        <is>
          <t>🔴 Высокий</t>
        </is>
      </c>
      <c r="F2" s="2" t="inlineStr">
        <is>
          <t>2026-08-08</t>
        </is>
      </c>
      <c r="G2" s="2" t="inlineStr">
        <is>
          <t>Информационный / Пошаговое обучение (TOFU - Старт в теме)</t>
        </is>
      </c>
      <c r="H2" s="2" t="inlineStr">
        <is>
          <t>Страх сжечь радиодеталь, испортить плату или получить холодную пайку («серый матовый шарик»). Непонимание, зачем нужен флюс и почему припой не липнет к сухому жалу.</t>
        </is>
      </c>
      <c r="I2" s="2" t="inlineStr">
        <is>
          <t>Правильная пайка паяльником заключается в нагреве соединяемых выводов детали и контактной площадки платы с последующей подачей припоя в зону контакта. Ключевые условия: очищенное залуженное жало, использование флюса (канифоль/ЛТИ-120) и припоя ПОС-61 при температуре 280–320°C.</t>
        </is>
      </c>
      <c r="J2" s="2" t="inlineStr">
        <is>
          <t>Температура жала 280–320°C, припой ПОС-61 (плавление 183°C), флюс ЛТИ-120 / канифоль сосновая, время контакта 2–3 секунды, блестящий вогнутый галтель пайки.</t>
        </is>
      </c>
      <c r="K2" s="2" t="inlineStr">
        <is>
          <t>Интерактивный чек-лист самопроверки «4 признака идеального паяного шва»</t>
        </is>
      </c>
      <c r="L2" s="2" t="inlineStr">
        <is>
          <t>как паять паяльником, ПОС-61, флюс ЛТИ-120, залуживание жала, галтель пайки, холодная пайка, температура пайки, канифоль</t>
        </is>
      </c>
      <c r="M2" s="2" t="inlineStr">
        <is>
          <t>-&gt; #2 (/s-chego-nachat-pajku) [что купить новичку]; -&gt; #15 (/pripoj-dlya-pajki-vidy) [выбор припоя ПОС-61]; -&gt; #20 (/flyus-dlya-pajki-kakoj-vybrat) [применение флюса]</t>
        </is>
      </c>
      <c r="N2" s="2" t="inlineStr">
        <is>
          <t>А какая ваша первая пайка запомнилась больше всего — сгоревший транзистор или идеальный контакт? Напишите в комментариях!</t>
        </is>
      </c>
      <c r="O2" s="2" t="inlineStr">
        <is>
          <t>Готов к написанию</t>
        </is>
      </c>
      <c r="P2" s="2" t="inlineStr">
        <is>
          <t>2026-08-08</t>
        </is>
      </c>
      <c r="Q2" s="5" t="inlineStr">
        <is>
          <t>solder-article-writer</t>
        </is>
      </c>
      <c r="R2" s="5" t="inlineStr">
        <is>
          <t>Передать в solder-article-auditor</t>
        </is>
      </c>
      <c r="S2" s="5" t="inlineStr">
        <is>
          <t>Да</t>
        </is>
      </c>
      <c r="T2" s="5" t="n">
        <v>95</v>
      </c>
      <c r="U2" s="5" t="n"/>
      <c r="V2" s="5" t="n"/>
      <c r="W2" s="5" t="n"/>
      <c r="X2" s="5" t="n"/>
      <c r="Y2" s="5" t="n"/>
      <c r="Z2" s="5" t="n"/>
    </row>
    <row r="3">
      <c r="A3" s="5" t="inlineStr">
        <is>
          <t>6.0</t>
        </is>
      </c>
      <c r="B3" s="5" t="inlineStr">
        <is>
          <t>Какой паяльник выбрать: советы для новичка в 2026 году</t>
        </is>
      </c>
      <c r="C3" s="5" t="inlineStr">
        <is>
          <t>kakoj-payalnik-vybrat</t>
        </is>
      </c>
      <c r="D3" s="5" t="inlineStr">
        <is>
          <t>Инструменты / Выбор паяльника</t>
        </is>
      </c>
      <c r="E3" s="5" t="inlineStr">
        <is>
          <t>Высокий</t>
        </is>
      </c>
      <c r="F3" s="11" t="n">
        <v>46249</v>
      </c>
      <c r="G3" s="5" t="inlineStr">
        <is>
          <t>Коммерческий / Buyer's Guide (MOFU - Выбор инструмента)</t>
        </is>
      </c>
      <c r="H3" s="5" t="inlineStr">
        <is>
          <t>Новичок боится сжечь радиодетали дешёвым паяльником без регулировки или переплатить за громоздкую станцию. Ищет проверенный гайд по выбору (PID-термоконтроль, USB-C/PD vs 220V, жала T12/C210) и рейтинг моделей 2026 (Pinecil V2, TS101, FNIRSI HS01, KSGER T12, Deko SI24).</t>
        </is>
      </c>
      <c r="I3" s="5" t="inlineStr">
        <is>
          <t>Занять ТОП-1 в Яндексе и Google по запросам 'какой паяльник выбрать новичку', 'лучший паяльник для начинающих 2026'.</t>
        </is>
      </c>
      <c r="J3" s="5" t="n"/>
      <c r="K3" s="5" t="n"/>
      <c r="L3" s="5" t="inlineStr">
        <is>
          <t>Primary Keywords: какой паяльник выбрать новичку, лучший паяльник для начинающих 2026, паяльник с регулировкой температуры, какой паяльник купить для дома, смарт-паяльник USB-C Type-C PD. Key Models &amp; Benchmarks: Deko SI24, Element 947-III, Pinecil V2, TS101, FNIRSI HS01, KSGER T12. Key Decision Criteria: Наличие регулировки температуры (PID-контроль), мощность 60-80 Вт, гибочность провода (силикон), типы жал (медные vs никелированные vs картриджи T12), портативность (USB-C PD)</t>
        </is>
      </c>
      <c r="M3" s="5" t="n"/>
      <c r="N3" s="5" t="n"/>
      <c r="O3" s="5" t="inlineStr">
        <is>
          <t>написано</t>
        </is>
      </c>
      <c r="P3" s="5" t="n"/>
      <c r="Q3" s="5">
        <f>IF($A3=6, "solder-article-writer", "solder-brief-writer")</f>
        <v/>
      </c>
      <c r="R3" s="5">
        <f>IF($A3=6, "Передать на проверку в solder-article-reviewer", "Ожидает написания")</f>
        <v/>
      </c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5" t="n">
        <v>2</v>
      </c>
      <c r="B4" s="5" t="inlineStr">
        <is>
          <t>С чего начать пайку: что нужно новичку</t>
        </is>
      </c>
      <c r="C4" s="5" t="inlineStr">
        <is>
          <t>s-chego-nachat-pajku</t>
        </is>
      </c>
      <c r="D4" s="5" t="inlineStr">
        <is>
          <t>Основы пайки / Как паять</t>
        </is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inlineStr">
        <is>
          <t>Готов к написанию</t>
        </is>
      </c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5" t="n">
        <v>2</v>
      </c>
      <c r="B5" s="5" t="inlineStr">
        <is>
          <t>С чего начать пайку: что нужно новичку</t>
        </is>
      </c>
      <c r="C5" s="5" t="inlineStr">
        <is>
          <t>s-chego-nachat-pajku</t>
        </is>
      </c>
      <c r="D5" s="5" t="inlineStr">
        <is>
          <t>Основы пайки / Как паять</t>
        </is>
      </c>
      <c r="E5" s="5" t="inlineStr">
        <is>
          <t>Высокий</t>
        </is>
      </c>
      <c r="F5" s="5" t="inlineStr">
        <is>
          <t>с чего начать пайку</t>
        </is>
      </c>
      <c r="G5" s="5" t="inlineStr">
        <is>
          <t>минимальный набор для пайки, что купить новичку для пайки, какой паяльник выбрать первым, припой и флюс для начинающих, организация рабочего места</t>
        </is>
      </c>
      <c r="H5" s="5" t="inlineStr">
        <is>
          <t>Informational / Problem-solving</t>
        </is>
      </c>
      <c r="I5" s="5" t="inlineStr">
        <is>
          <t>Title: С чего начать пайку: базовый набор и пошаговый чек-лист для начинающих | Meta Description: Узнайте, что нужно купить новичку для первой пайки: выбор паяльника, припоя, флюса и организация безопасного рабочего места дома.</t>
        </is>
      </c>
      <c r="J5" s="5" t="inlineStr">
        <is>
          <t>H1: С чего начать пайку; H2: Краткий ответ; H2: Минимальный набор; H2: Алгоритм пайки; H2: Частые ошибки; H2: Безопасность; H2: FAQ | Фактура: ПОС-61 (183°C / 260-300°C), SAC305 (217°C / 320-350°C), канифоль/RMA</t>
        </is>
      </c>
      <c r="K5" s="5" t="inlineStr">
        <is>
          <t>Без BGA, без промышленных терминов, без рекламных клише</t>
        </is>
      </c>
      <c r="L5" s="5" t="inlineStr">
        <is>
          <t>/kak-payat-payalnikom-dlya-nachinayuschih</t>
        </is>
      </c>
      <c r="M5" s="5" t="inlineStr">
        <is>
          <t>/kak-payat-payalnikom-dlya-nachinayuschih, /kakoj-payalnik-vybrat, /nizhnij-podogrev-dlya-pajki</t>
        </is>
      </c>
      <c r="N5" s="5" t="inlineStr">
        <is>
          <t>Средний</t>
        </is>
      </c>
      <c r="O5" s="5" t="inlineStr">
        <is>
          <t>Готов к написанию</t>
        </is>
      </c>
      <c r="P5" s="11" t="n">
        <v>46247</v>
      </c>
      <c r="Q5" s="5" t="inlineStr">
        <is>
          <t>solder-content-analyzer</t>
        </is>
      </c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n">
        <v>3</v>
      </c>
      <c r="B6" s="5" t="inlineStr">
        <is>
          <t>Пайка проводов: как правильно соединить и изолировать</t>
        </is>
      </c>
      <c r="C6" s="5" t="inlineStr">
        <is>
          <t>pajka-provodov-kak-soedinit</t>
        </is>
      </c>
      <c r="D6" s="5" t="inlineStr">
        <is>
          <t>Основы пайки / Как паять</t>
        </is>
      </c>
      <c r="E6" s="5" t="inlineStr">
        <is>
          <t>Высокий</t>
        </is>
      </c>
      <c r="F6" s="11" t="n">
        <v>46250</v>
      </c>
      <c r="G6" s="5" t="inlineStr">
        <is>
          <t>Информационный / Практический гайд (TOFU/MOFU - Решение проблемы)</t>
        </is>
      </c>
      <c r="H6" s="5" t="inlineStr">
        <is>
          <t>Провода ломаются на изгибе, скрутка греется или разваливается, термоусадка плавится раньше времени или провод обугливается. Непонимание, зачем лудить перед скруткой, почему припой не течет внутрь жил и как сделать соединение герметичным и долговечным.</t>
        </is>
      </c>
      <c r="I6" s="5" t="inlineStr">
        <is>
          <t>Title: Пайка проводов: как правильно соединить, спаять и надежно заизолировать медные жилы | Meta Description: Пошаговое руководство по правильной пайке многожильных и одножильных проводов: выбор скрутки (Western Union, внакладку), флюс, припой ПОС-61 и термоусадочная изоляция с клеем.</t>
        </is>
      </c>
      <c r="J6" s="5" t="inlineStr">
        <is>
          <t>H1: 🔥 Пайка проводов: как правильно соединить, спаять и надежно изолировать; H2: 📌 Краткий ответ; H2: 🧰 Что понадобится; H2: 🔬 Физика процесса; H2: 🪜 Пошаговая инструкция; H3: Шаг 1-5; H2: ❌ Частые ошибки; H2: ⚠️ Безопасность; H2: 💡 Секреты мастера; H2: 🎯 Итог и совет мастера; H2: ❓ FAQ. Фактура: ПОС-61 (плавление 183°C, жало 280–310°C), нейтральный флюс СКФ/RMA, клеевая термоусадка 3:1.</t>
        </is>
      </c>
      <c r="K6" s="5" t="inlineStr">
        <is>
          <t>Сравнительная таблица видов скруток проводов под пайку (встречная Western Union, параллельная, бандажная) с оценкой вибростойкости и толщины шва.</t>
        </is>
      </c>
      <c r="L6" s="5" t="inlineStr">
        <is>
          <t>пайка проводов, как спаять два провода, скрутка проводов пайка, лужение многожильного провода, ПОС-61, флюс для проводов, термоусадочная трубка с клеем, стриппер для зачистки, механическая прочность соединения, капиллярный эффект</t>
        </is>
      </c>
      <c r="M6" s="5" t="inlineStr">
        <is>
          <t>-&gt; #1 (/kak-payat-payalnikom-dlya-nachinayuschih) [базовый гайд по пайке]; -&gt; #15 (/pripoj-dlya-pajki-vidy) [припой для медных жил]; -&gt; #50 (/termousadka-posle-pajki) [изоляция термоусадкой]</t>
        </is>
      </c>
      <c r="N6" s="5" t="inlineStr">
        <is>
          <t>А какой способ соединения проводов чаще используете вы — пайку со скруткой, клеммы WAGO или опрессовку гильзами? Поделитесь вашим опытом в комментариях!</t>
        </is>
      </c>
      <c r="O6" s="5" t="inlineStr">
        <is>
          <t>написано</t>
        </is>
      </c>
      <c r="P6" s="11" t="n">
        <v>46249</v>
      </c>
      <c r="Q6" s="5" t="inlineStr">
        <is>
          <t>solder-article-writer</t>
        </is>
      </c>
      <c r="R6" s="5" t="inlineStr">
        <is>
          <t>Передать на ревью (solder-reviewer)</t>
        </is>
      </c>
      <c r="S6" s="5" t="inlineStr">
        <is>
          <t>Да</t>
        </is>
      </c>
      <c r="T6" s="5" t="n">
        <v>96</v>
      </c>
      <c r="U6" s="5" t="inlineStr">
        <is>
          <t>У конкурентов нет акцента на капиллярное втягивание припоя вглубь многожильного провода, объяснения механических напряжений на границе спая и правила надевания термоусадки ДО начала пайки.</t>
        </is>
      </c>
      <c r="V6" s="5" t="n"/>
      <c r="W6" s="5" t="n"/>
      <c r="X6" s="5" t="n"/>
      <c r="Y6" s="5" t="n"/>
      <c r="Z6" s="5" t="n"/>
    </row>
    <row r="7">
      <c r="A7" s="5" t="n">
        <v>4</v>
      </c>
      <c r="B7" s="5" t="inlineStr">
        <is>
          <t>Как научиться паять быстро и без брака</t>
        </is>
      </c>
      <c r="C7" s="5" t="inlineStr">
        <is>
          <t>kak-nauchitsya-payat-bystro</t>
        </is>
      </c>
      <c r="D7" s="5" t="inlineStr">
        <is>
          <t>Основы пайки / Как паять</t>
        </is>
      </c>
      <c r="E7" s="5" t="inlineStr">
        <is>
          <t>Средний</t>
        </is>
      </c>
      <c r="F7" s="11" t="n">
        <v>46251</v>
      </c>
      <c r="G7" s="5" t="inlineStr">
        <is>
          <t>Информационный / Обучающий гайд (TOFU)</t>
        </is>
      </c>
      <c r="H7" s="5" t="inlineStr">
        <is>
          <t>Новичок тратит часы на простую пайку, пачкает плату нагаром, боится перегреть детали и не понимает, почему припой ложится матовыми комками. Ищет простую систему упражнений для постановки руки.</t>
        </is>
      </c>
      <c r="I7" s="5" t="inlineStr">
        <is>
          <t>Title: Как научиться паять быстро и без брака: пошаговый тренажер для новичка | Meta Description: Освойте базовую технику пайки за 3 практических упражнения: правильный хват паяльника, лужение дорожек, контроль времени прогрева и дозирование припоя.</t>
        </is>
      </c>
      <c r="J7" s="5" t="inlineStr">
        <is>
          <t>H1: ⚡ Как научиться паять быстро и без брака: система тренировки для начинающих; H2: 📌 Краткий ответ; H2: 🧰 Минимальный тренировочный набор; H2: 🔬 Физика контакта и тайминг; H2: 🪜 3 практических упражнения для постановки руки; H3: Упражнение 1. Лужение сетки из проводов (куб из проволоки); H3: Упражнение 2. Монтаж и демонтаж DIP-резисторов на макетке; H3: Упражнение 3. Пайка контактных площадок за 2 секунды; H2: ❌ Главные ошибки начинающих; H2: ⚠️ Безопасность; H2: 💡 Секреты мастера; H2: 🎯 Итог и совет мастера; H2: ❓ FAQ. Фактура: время контакта жала 2–3 секунды, температура 280–300°C для ПОС-61 (183°C), флюс канифоль/СКФ, макетная плата FR-4.</t>
        </is>
      </c>
      <c r="K7" s="5" t="inlineStr">
        <is>
          <t>Интерактивный тест 'Готов ли ваш спай за 2 секунды' + упражнение 'Куб из проводов' для пространственной тренировки пайки.</t>
        </is>
      </c>
      <c r="L7" s="5" t="inlineStr">
        <is>
          <t>как научиться паять, пайка для начинающих, тренировка пайки, куб из проволоки пайка, как держать паяльник, время пайки контакта, ПОС-61, лужение жала</t>
        </is>
      </c>
      <c r="M7" s="5" t="inlineStr">
        <is>
          <t>-&gt; #1 (/kak-payat-payalnikom-dlya-nachinayuschih) [пошаговый алгоритм]; -&gt; #25 (/oshibki-novichka-pri-pajke) [причины брака]; -&gt; #42 (/kak-chistit-i-ludit-zhalo) [лужение жала]</t>
        </is>
      </c>
      <c r="N7" s="5" t="inlineStr">
        <is>
          <t>Какое упражнение помогло вам быстрее всего поставить руку при пайке? Делитесь опытом в комментариях!</t>
        </is>
      </c>
      <c r="O7" s="5" t="inlineStr">
        <is>
          <t>написано</t>
        </is>
      </c>
      <c r="P7" s="11" t="n">
        <v>46249</v>
      </c>
      <c r="Q7" s="5" t="inlineStr">
        <is>
          <t>solder-article-writer</t>
        </is>
      </c>
      <c r="R7" s="5" t="inlineStr">
        <is>
          <t>Передать на аудит (solder-article-auditor)</t>
        </is>
      </c>
      <c r="S7" s="5" t="inlineStr">
        <is>
          <t>Да</t>
        </is>
      </c>
      <c r="T7" s="5" t="n">
        <v>95</v>
      </c>
      <c r="U7" s="5" t="inlineStr">
        <is>
          <t>Конкуренты дают лишь теоретические советы 'держите 2 секунды'. Мы даем конкретные 3 упражнения с макеткой и проволочным кубом для мышечной памяти.</t>
        </is>
      </c>
      <c r="V7" s="5" t="n"/>
      <c r="W7" s="5" t="n"/>
      <c r="X7" s="5" t="n"/>
      <c r="Y7" s="5" t="n"/>
      <c r="Z7" s="5" t="n"/>
    </row>
    <row r="8">
      <c r="A8" s="5" t="n">
        <v>15</v>
      </c>
      <c r="B8" s="5" t="inlineStr">
        <is>
          <t>Припой для пайки: виды и как выбрать правильный</t>
        </is>
      </c>
      <c r="C8" s="5" t="inlineStr">
        <is>
          <t>pripoj-dlya-pajki-vidy</t>
        </is>
      </c>
      <c r="D8" s="5" t="inlineStr">
        <is>
          <t>Материалы / Припои</t>
        </is>
      </c>
      <c r="E8" s="5" t="inlineStr">
        <is>
          <t>Высокий</t>
        </is>
      </c>
      <c r="F8" s="11" t="n">
        <v>46252</v>
      </c>
      <c r="G8" s="5" t="inlineStr">
        <is>
          <t>Информационный / Справочник / Buyer's Guide (MOFU)</t>
        </is>
      </c>
      <c r="H8" s="5" t="inlineStr">
        <is>
          <t>Путаница в маркировках (ПОС-61, ПОС-40, Sn63Pb37, SAC305, Розе, Вуд), непонимание разницы между свинцовыми и бессвинцовыми сплавами, покупка дешевого безымянного китайского припоя, который не плавится и не липнет.</t>
        </is>
      </c>
      <c r="I8" s="5" t="inlineStr">
        <is>
          <t>Title: Припой для пайки: виды, маркировки, состав и выбор под задачи | Meta Description: Полный гид по припоям: различия оловянно-свинцовых (ПОС-61, ПОС-40), бессвинцовых (SAC305), легкоплавких сплавов Розе и Вуда, выбор диаметра и флюса в сердечнике.</t>
        </is>
      </c>
      <c r="J8" s="5" t="inlineStr">
        <is>
          <t>H1: 🧪 Припой для пайки: полный гид по видам, маркировкам и выбору сплава; H2: 📌 Краткий ответ: шпаргалка по выбору; H2: 🔬 Химия и металлургия: солидус, ликвидус и эвтектика; H2: 📊 Таблица характеристик популярных сплавов; H2: 🪜 Классификация припоев по составу и температуре; H3: Оловянно-свинцовые припои (ПОС-61, ПОС-40, Sn63Pb37); H3: Бессвинцовые сплавы (SAC305, Sn99Cu1); H3: Легкоплавкие сплавы (Розе — 94°C, Вуда — 68°C); H3: Припои специального назначения (для алюминия, серебряные); H2: 🎯 Как выбрать диаметр и флюс в сердечнике; H2: ❌ Ошибки при выборе припоя; H2: ⚠️ Безопасность и свинцовая гигиена; H2: 💡 Секреты мастера; H2: 🎯 Итог и совет мастера; H2: ❓ FAQ. Фактура: ПОС-61 (Sn61Pb39, 183°C эвтектика), ПОС-40 (183–238°C), SAC305 (Sn96.5Ag3.0Cu0.5, 217°C), сплав Розе (94°C), сплав Вуда (68.5°C).</t>
        </is>
      </c>
      <c r="K8" s="5" t="inlineStr">
        <is>
          <t>Интерактивная сводная таблица температур плавления и сфер применения всех 8 основных типов припоев с цветовой маркировкой.</t>
        </is>
      </c>
      <c r="L8" s="5" t="inlineStr">
        <is>
          <t>припой для пайки, виды припоев, ПОС-61, ПОС-40, Sn63Pb37, бессвинцовый припой, SAC305, сплав Розе, сплав Вуда, эвтектический сплав, температура плавления припоя, трубчатый припой с канифолью</t>
        </is>
      </c>
      <c r="M8" s="5" t="inlineStr">
        <is>
          <t>-&gt; #16 (/pos-61-i-pos-40-raznica) [сравнение ПОС-61 и ПОС-40]; -&gt; #17 (/bessvincovyj-pripoj) [бессвинцовые припои]; -&gt; #18 (/pripoj-s-flyusom-vnutri) [трубчатый припой с флюсом]; -&gt; #52 (/payalnaya-pasta-ili-pripoj) [паяльная паста vs припой]</t>
        </is>
      </c>
      <c r="N8" s="5" t="inlineStr">
        <is>
          <t>Какой припой ваш основной на рабочем месте — классический ПОС-61, бессвинцовый SAC305 или паяльная паста? Напишите в комментариях!</t>
        </is>
      </c>
      <c r="O8" s="5" t="inlineStr">
        <is>
          <t>Готов к написанию</t>
        </is>
      </c>
      <c r="P8" s="11" t="n">
        <v>46249</v>
      </c>
      <c r="Q8" s="5" t="inlineStr">
        <is>
          <t>solder-article-writer</t>
        </is>
      </c>
      <c r="R8" s="5" t="inlineStr">
        <is>
          <t>Написать статью (solder-article-writer)</t>
        </is>
      </c>
      <c r="S8" s="5" t="inlineStr">
        <is>
          <t>Да</t>
        </is>
      </c>
      <c r="T8" s="5" t="n">
        <v>98</v>
      </c>
      <c r="U8" s="5" t="inlineStr">
        <is>
          <t>В рунете нет единой статьи с четким разграничением температур солидуса/ликвидуса для новичков и честным сравнением ПОС против SAC305 без маркетинговой шелухи.</t>
        </is>
      </c>
      <c r="V8" s="5" t="n"/>
      <c r="W8" s="5" t="n"/>
      <c r="X8" s="5" t="n"/>
      <c r="Y8" s="5" t="n"/>
      <c r="Z8" s="5" t="n"/>
    </row>
    <row r="9">
      <c r="A9" s="5" t="n">
        <v>16</v>
      </c>
      <c r="B9" s="5" t="inlineStr">
        <is>
          <t>ПОС-61 и ПОС-40: в чём разница и что выбрать</t>
        </is>
      </c>
      <c r="C9" s="5" t="inlineStr">
        <is>
          <t>pos-61-i-pos-40-raznica</t>
        </is>
      </c>
      <c r="D9" s="5" t="inlineStr">
        <is>
          <t>Материалы / Припои</t>
        </is>
      </c>
      <c r="E9" s="5" t="inlineStr">
        <is>
          <t>Высокий</t>
        </is>
      </c>
      <c r="F9" s="11" t="n">
        <v>46253</v>
      </c>
      <c r="G9" s="5" t="inlineStr">
        <is>
          <t>Информационный / Сравнительный анализ (MOFU)</t>
        </is>
      </c>
      <c r="H9" s="5" t="inlineStr">
        <is>
          <t>Непонимание, почему ПОС-40 дешевле, но паять им мелкую электронику мучительно трудно, почему ПОС-40 долго застывает и дает матовый шов, а ПОС-61 кристаллизуется мгновенно.</t>
        </is>
      </c>
      <c r="I9" s="5" t="inlineStr">
        <is>
          <t>Title: ПОС-61 или ПОС-40: подробное сравнение, состав, температуры и выбор | Meta Description: В чем разница между припоями ПОС-61 и ПОС-40: процент олова и свинца, температура плавления (183°C против 238°C), пластическая фаза и сферы применения.</t>
        </is>
      </c>
      <c r="J9" s="5" t="inlineStr">
        <is>
          <t>H1: ⚖️ ПОС-61 или ПОС-40: в чём разница, физика плавления и что выбрать; H2: 📌 Краткий ответ: ключевое отличие за 30 секунд; H2: 🔬 Химический состав и фазовая диаграмма; H2: 📊 Сравнительная таблица ПОС-61 vs ПОС-40; H2: 🌡️ Эвтектика против пластической зоны: почему ПОС-61 застывает мгновенно; H2: 🛠️ Практическое применение: когда брать ПОС-61, а когда оправдан ПОС-40; H2: ❌ Ошибки при пайке плат припоем ПОС-40; H2: ⚠️ Безопасность; H2: 💡 Секреты мастера; H2: 🎯 Итог и совет мастера; H2: ❓ FAQ. Фактура: ПОС-61 (61% Sn, 39% Pb, 183°C строго эвтектика, жало 270–300°C), ПОС-40 (40% Sn, 60% Pb, солидус 183°C, ликвидус 238°C, пастообразная зона 55°C, жало 310–340°C).</t>
        </is>
      </c>
      <c r="K9" s="5" t="inlineStr">
        <is>
          <t>Наглядная схема-график фазового перехода 'Жидкий расплав -&gt; Пастообразная каша -&gt; Твердый металл' с таймингом застывания.</t>
        </is>
      </c>
      <c r="L9" s="5" t="inlineStr">
        <is>
          <t>ПОС-61, ПОС-40, разница пос 61 и пос 40, температура плавления пос 61, температура плавления пос 40, эвтектический припой, оловянно-свинцовый припой, припой для плат, припой для радиаторов и проводов</t>
        </is>
      </c>
      <c r="M9" s="5" t="inlineStr">
        <is>
          <t>-&gt; #15 (/pripoj-dlya-pajki-vidy) [все виды припоев]; -&gt; #1 (/kak-payat-payalnikom-dlya-nachinayuschih) [пайка припоем ПОС-61]</t>
        </is>
      </c>
      <c r="N9" s="5" t="inlineStr">
        <is>
          <t>А вы используете ПОС-40 в своей практике или полностью перешли на ПОС-61 и бессвинцовые сплавы? Делитесь в комментариях!</t>
        </is>
      </c>
      <c r="O9" s="5" t="inlineStr">
        <is>
          <t>Готов к написанию</t>
        </is>
      </c>
      <c r="P9" s="11" t="n">
        <v>46249</v>
      </c>
      <c r="Q9" s="5" t="inlineStr">
        <is>
          <t>solder-article-writer</t>
        </is>
      </c>
      <c r="R9" s="5" t="inlineStr">
        <is>
          <t>Написать статью (solder-article-writer)</t>
        </is>
      </c>
      <c r="S9" s="5" t="inlineStr">
        <is>
          <t>Да</t>
        </is>
      </c>
      <c r="T9" s="5" t="n">
        <v>97</v>
      </c>
      <c r="U9" s="5" t="inlineStr">
        <is>
          <t>Большинство статей сухо цитируют ГОСТ 21930-76. Мы объясняем физику пастообразной зоны 55°C у ПОС-40 простыми словами мастера.</t>
        </is>
      </c>
      <c r="V9" s="5" t="n"/>
      <c r="W9" s="5" t="n"/>
      <c r="X9" s="5" t="n"/>
      <c r="Y9" s="5" t="n"/>
      <c r="Z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7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7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7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7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7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7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7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7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7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7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7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7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7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7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7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7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7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7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7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7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7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7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7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7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7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7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7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7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7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7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7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7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7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7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7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7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7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7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7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7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7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7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7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7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7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7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7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7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7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7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7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7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7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7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7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7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7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7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7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7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7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7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7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7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7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7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7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7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7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7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7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7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7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7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7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7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7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7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7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7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7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7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7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7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7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7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7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7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7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7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7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7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7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7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7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7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7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7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7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7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7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7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7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7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7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7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7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7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7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7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7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7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7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7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7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7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7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7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7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7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7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7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7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7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7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7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7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7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7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7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7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7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7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7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7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7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7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7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7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7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7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7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7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7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7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7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7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7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7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7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7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7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7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7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7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7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7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7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7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7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7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7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7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7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7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7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7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7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7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7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7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7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7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7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7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7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7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7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7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7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7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7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7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7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7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7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7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7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7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7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7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7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7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7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7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7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7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7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7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7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7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7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7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7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7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7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7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7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7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7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7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7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7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7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7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7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7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7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7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7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7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7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7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7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7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7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17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17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17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17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17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17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1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17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17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17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17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17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17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17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17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17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1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17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17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17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17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17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17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17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17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17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1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17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17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17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17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17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17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17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17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17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1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17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17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17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17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17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17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17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17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17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17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17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17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17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17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17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17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17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17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1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17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17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17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17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17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17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17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17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17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1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17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17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17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17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17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17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17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17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17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1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17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17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17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17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17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17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17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17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17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1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17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17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17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17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17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17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17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17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17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1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17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17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17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17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17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17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17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17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17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1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17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17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17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17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17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17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17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17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17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1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17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17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17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17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17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17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17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17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17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1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17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17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17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17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17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17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17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17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17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1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17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17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17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17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17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17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17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17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17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17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17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17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17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17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17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17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17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17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1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17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17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17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17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17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17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17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17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17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1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17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17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17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17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17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17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17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17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17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1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17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17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17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17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17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17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17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17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17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1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17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17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17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17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17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17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17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17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17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1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17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17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17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17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17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17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17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17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17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1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17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17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17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17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17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17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17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17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17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1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17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17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17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17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17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17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17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17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17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1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17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17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17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17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17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17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17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17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17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1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17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17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17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17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17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17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17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17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17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17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17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17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17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17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17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17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17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17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1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17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17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17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17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17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17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17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17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17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1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17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17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17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17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17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17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17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17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17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1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17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17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17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17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17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17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17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17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17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1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17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17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17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17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17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17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17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17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17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1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17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17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17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17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17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17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17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17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17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1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17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17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17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17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17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17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17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17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17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1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17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17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17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17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17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17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17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17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17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1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17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17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17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17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17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17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17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17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17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1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17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17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17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17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17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17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17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17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17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17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17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17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17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17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17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17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17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17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1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17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17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17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17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17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17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17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17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17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1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17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17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17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17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17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17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17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17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17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1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17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17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17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17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17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17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17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17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17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1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17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17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17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17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17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17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17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17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17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1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17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17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17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17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17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17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17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17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17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1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17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17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17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17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17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17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17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17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17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1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17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17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17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17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17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17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17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17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17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1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17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17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17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17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17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17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17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17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17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1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17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17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17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17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17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17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17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17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17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17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17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17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17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17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17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17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17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17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1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17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17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17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17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17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17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17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17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17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1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17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17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17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17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17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17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17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17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17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1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17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17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17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17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17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17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17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17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17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1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17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17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17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17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17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17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17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17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17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1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17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17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17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17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17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17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17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17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17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1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17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17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17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17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17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17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17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17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17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1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17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17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17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17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17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17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17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17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17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1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17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17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17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17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17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17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17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17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17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1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17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17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17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17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17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17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17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17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17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17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17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17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17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17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17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17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17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17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1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17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17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17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17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17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17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17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17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17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1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17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17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17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17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17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17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17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17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17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1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17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17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17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17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17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17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17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17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17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1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17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17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17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17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17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17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17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17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17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1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17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17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17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17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17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17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17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17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17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1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17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17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17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17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17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17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17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17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17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1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17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17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17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17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17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17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17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17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17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1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17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17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17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17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17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17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17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17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17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1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17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17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17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17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17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17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17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17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17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17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17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17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17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17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17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17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17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17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1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17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17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17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17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17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17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17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17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17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1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17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17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17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17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17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17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17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17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17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1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17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17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17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17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17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17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17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17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17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1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17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17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17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17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17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17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17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17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17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1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17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17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17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17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17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17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17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17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17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1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17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17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17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17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17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17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17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17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17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1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17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17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17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17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17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17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17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17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17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1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17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17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8" customWidth="1" style="17" min="1" max="28"/>
  </cols>
  <sheetData>
    <row r="1">
      <c r="A1" s="12" t="inlineStr">
        <is>
          <t>ID_темы</t>
        </is>
      </c>
      <c r="B1" s="12" t="inlineStr">
        <is>
          <t>Заголовок</t>
        </is>
      </c>
      <c r="C1" s="12" t="inlineStr">
        <is>
          <t>Slug</t>
        </is>
      </c>
      <c r="D1" s="12" t="inlineStr">
        <is>
          <t>Дата</t>
        </is>
      </c>
      <c r="E1" s="12" t="inlineStr">
        <is>
          <t>H1</t>
        </is>
      </c>
      <c r="F1" s="12" t="inlineStr">
        <is>
          <t>Meta_Description</t>
        </is>
      </c>
      <c r="G1" s="12" t="inlineStr">
        <is>
          <t>Focus_Keyword</t>
        </is>
      </c>
      <c r="H1" s="12" t="inlineStr">
        <is>
          <t>SEO_Title</t>
        </is>
      </c>
      <c r="I1" s="12" t="inlineStr">
        <is>
          <t>Canonical_URL</t>
        </is>
      </c>
      <c r="J1" s="12" t="inlineStr">
        <is>
          <t>Body_Markdown</t>
        </is>
      </c>
      <c r="K1" s="12" t="inlineStr">
        <is>
          <t>Featured_Image_Alt</t>
        </is>
      </c>
      <c r="L1" s="12" t="inlineStr">
        <is>
          <t>Tags_LSI</t>
        </is>
      </c>
      <c r="M1" s="12" t="inlineStr">
        <is>
          <t>Internal_Links_Checklist</t>
        </is>
      </c>
      <c r="N1" s="13" t="inlineStr">
        <is>
          <t>AI_Pattern_Report</t>
        </is>
      </c>
      <c r="O1" s="12" t="inlineStr">
        <is>
          <t>Статус_экспорта</t>
        </is>
      </c>
      <c r="P1" s="13" t="inlineStr">
        <is>
          <t>GEO_Прямой_ответ</t>
        </is>
      </c>
      <c r="Q1" s="13" t="inlineStr">
        <is>
          <t>GEO_Цитируемые_факты</t>
        </is>
      </c>
      <c r="R1" s="13" t="inlineStr">
        <is>
          <t>GEO_FAQ_вопросы</t>
        </is>
      </c>
      <c r="S1" s="13" t="inlineStr">
        <is>
          <t>GEO_EEAT_фактура</t>
        </is>
      </c>
      <c r="T1" s="13" t="inlineStr">
        <is>
          <t>GEO_Сущности_и_LSI</t>
        </is>
      </c>
      <c r="U1" s="13" t="inlineStr">
        <is>
          <t>GEO_Schema_JSONLD</t>
        </is>
      </c>
      <c r="V1" s="12" t="inlineStr">
        <is>
          <t>SEO_Поисковый_интент</t>
        </is>
      </c>
      <c r="W1" s="12" t="inlineStr">
        <is>
          <t>SEO_Вторичные_ключи</t>
        </is>
      </c>
      <c r="X1" s="12" t="inlineStr">
        <is>
          <t>SEO_Проверка_мета</t>
        </is>
      </c>
      <c r="Y1" s="13" t="inlineStr">
        <is>
          <t>AI_Crawlability</t>
        </is>
      </c>
      <c r="Z1" s="13">
        <f>MATCH(1, A:A, 0)</f>
        <v/>
      </c>
      <c r="AA1" s="12" t="inlineStr">
        <is>
          <t>Image_Plan</t>
        </is>
      </c>
      <c r="AB1" s="12" t="inlineStr">
        <is>
          <t>Image_Alt_List</t>
        </is>
      </c>
    </row>
    <row r="2" ht="199.5" customHeight="1" s="17">
      <c r="A2" s="15" t="n">
        <v>10</v>
      </c>
      <c r="B2" s="15" t="inlineStr">
        <is>
          <t>Как паять паяльником: руководство для начинающих</t>
        </is>
      </c>
      <c r="C2" s="15" t="inlineStr">
        <is>
          <t>kak-payat-payalnikom-dlya-nachinayuschih</t>
        </is>
      </c>
      <c r="D2" s="15" t="inlineStr">
        <is>
          <t>2026-08-15</t>
        </is>
      </c>
      <c r="E2" s="15" t="inlineStr">
        <is>
          <t>Как паять паяльником: пошаговое руководство для начинающих</t>
        </is>
      </c>
      <c r="F2" s="15" t="inlineStr">
        <is>
          <t>Как правильно паять паяльником: инструменты, температура, пошаговые действия и ошибки новичка. Начните безопасно и получите ровный спай.</t>
        </is>
      </c>
      <c r="G2" s="15" t="inlineStr">
        <is>
          <t>как паять паяльником</t>
        </is>
      </c>
      <c r="H2" s="15" t="inlineStr">
        <is>
          <t>Как паять паяльником для начинающих | SolderBlog</t>
        </is>
      </c>
      <c r="I2" s="15" t="inlineStr">
        <is>
          <t>https://site/kak-payat-payalnikom-dlya-nachinayuschih/</t>
        </is>
      </c>
      <c r="J2" s="15" t="inlineStr">
        <is>
          <t># Как паять паяльником: руководство для начинающих
Чтобы начать паять, нужны паяльник с регулировкой температуры, припой и флюс. Прогрейте одновременно площадку и вывод 2–3 секунды, подайте припой в место контакта и не двигайте деталь до застывания.
## Что нужно для пайки
- Паяльник 25–60 Вт, для большинства задач — 40 Вт
- Припой ПОС-61 или SAC305, диаметр 0,8–1,0 мм
- Флюс: канифоль, RMA или No-clean
- Подставка, очиститель жала, пинцет и вентиляция
## Температура пайки
| Припой | Плавление | Рабочая температура жала |
|---|---:|---:|
| ПОС-61 | 183 °C | 260–320 °C |
| SAC305 | 217 °C | 300–360 °C |
| Bi-Sn | 138 °C | 180–230 °C |
## Как паять шаг за шагом
1. Прогрейте паяльник и залудите чистое жало.
2. Нанесите флюс на место пайки.
3. Одновременно прогревайте жало, площадку и вывод 2–3 секунды.
4. Подайте припой в контакт, а не на жало.
5. Уберите припой, затем жало. Не двигайте деталь 3–5 секунд.
## Типичные ошибки
**Холодная пайка.** Матовый, серый или зернистый спай появляется, когда деталь сдвинули до застывания или плохо прогрели контакт. Нанесите свежий флюс и перепаяйте соединение.
**Мост припоя.** Лишний припой соединил соседние дорожки. Уберите его медной оплёткой с флюсом.
**Перегрев.** Если греть компонент дольше 5 секунд, дайте ему остыть и проверьте работоспособность.
## План ИИ-изображений
- Обложка: руки мастера паяют тонкий провод к учебной плате; чистое жало, припой и флюс на верстаке.
- После шагов: техническая схема из четырёх кадров — прогрев контакта, подача припоя, снятие припоя, готовый спай.
- В блоке ошибок: макросравнение блестящего правильного и матового холодного спая.
&gt; Полные промпты, alt-тексты и места вставки — на листе `image_generation`.</t>
        </is>
      </c>
      <c r="K2" s="15" t="inlineStr">
        <is>
          <t>Новичок паяет провод паяльником с регулируемой температурой</t>
        </is>
      </c>
      <c r="L2" s="15" t="inlineStr">
        <is>
          <t>пайка для начинающих, ПОС-61, флюс, температура пайки, холодная пайка</t>
        </is>
      </c>
      <c r="M2" s="15" t="inlineStr">
        <is>
          <t>kak-vybrat-payalnik; podbor-flyusa; podbor-pripoya</t>
        </is>
      </c>
      <c r="N2" s="15" t="inlineStr">
        <is>
          <t>Паттернов ИИ: 0; чеклист SKILL-04 пройден</t>
        </is>
      </c>
      <c r="O2" s="15" t="inlineStr">
        <is>
          <t>Готово к экспорту</t>
        </is>
      </c>
      <c r="P2" s="16" t="inlineStr">
        <is>
          <t>Чтобы начать паять, нужны паяльник, припой и флюс: прогрейте контакт 2–3 секунды, подайте припой в соединение и не двигайте деталь до застывания.</t>
        </is>
      </c>
      <c r="Q2" s="16" t="inlineStr">
        <is>
          <t>ПОС-61 плавится при 183 °C, рабочая температура жала — 260–320 °C. SAC305 плавится около 217 °C и обычно требует 300–360 °C. Матовый зернистый спай — признак холодной пайки.</t>
        </is>
      </c>
      <c r="R2" s="16" t="inlineStr">
        <is>
          <t>Какой паяльник нужен новичку? Можно ли паять без флюса? Как распознать холодную пайку? Какая температура нужна для ПОС-61?</t>
        </is>
      </c>
      <c r="S2" s="16" t="inlineStr">
        <is>
          <t>Фото нормального и холодного спая; ограничение: перегрев дольше 5 секунд может повредить компонент; очистка и лужение жала между соединениями.</t>
        </is>
      </c>
      <c r="T2" s="16" t="inlineStr">
        <is>
          <t>паяльник, ПОС-61, SAC305, канифоль, RMA, No-clean, холодная пайка, жало, контактная площадка</t>
        </is>
      </c>
      <c r="U2" s="16" t="inlineStr">
        <is>
          <t>@graph: TechArticle + Person + BreadcrumbList + FAQPage при наличии видимого FAQ; указать datePublished, dateModified, author @id.</t>
        </is>
      </c>
      <c r="V2" s="16" t="inlineStr">
        <is>
          <t>Информационный: новичок ищет безопасную пошаговую инструкцию.</t>
        </is>
      </c>
      <c r="W2" s="16" t="inlineStr">
        <is>
          <t>как правильно паять; как пользоваться паяльником; температура пайки; припой; флюс; холодная пайка</t>
        </is>
      </c>
      <c r="X2" s="16" t="inlineStr">
        <is>
          <t>Ключ в H1, SEO Title, первом абзаце и одном H2; title до 60 символов, meta 130–160, один canonical.</t>
        </is>
      </c>
      <c r="Y2" s="16" t="inlineStr">
        <is>
          <t>Разрешить GPTBot, OAI-SearchBot, ChatGPT-User, ClaudeBot, PerplexityBot; контент доступен в HTML без обязательного JS.</t>
        </is>
      </c>
      <c r="Z2" s="16" t="inlineStr">
        <is>
          <t>Добавить в sitemap, отправить через Search Console; IndexNow только после размещения ключа на домене; проверить через 2–4 недели.</t>
        </is>
      </c>
      <c r="AA2" s="16" t="inlineStr">
        <is>
          <t>3 изображения: обложка; схема 4 шагов; сравнение правильного и холодного спая.</t>
        </is>
      </c>
      <c r="AB2" s="16" t="inlineStr">
        <is>
          <t>Новичок паяет провод; порядок пайки; сравнение правильного и холодного спая.</t>
        </is>
      </c>
    </row>
    <row r="3" ht="199.5" customHeight="1" s="17">
      <c r="A3" s="15" t="n">
        <v>11</v>
      </c>
      <c r="B3" s="15" t="inlineStr">
        <is>
          <t>Онлайн-инструменты для пайки</t>
        </is>
      </c>
      <c r="C3" s="15" t="inlineStr">
        <is>
          <t>instrumenty</t>
        </is>
      </c>
      <c r="D3" s="15" t="inlineStr">
        <is>
          <t>2026-08-20</t>
        </is>
      </c>
      <c r="E3" s="15" t="inlineStr">
        <is>
          <t>Онлайн-инструменты для пайки: подборщики, калькуляторы, тесты</t>
        </is>
      </c>
      <c r="F3" s="15" t="inlineStr">
        <is>
          <t>Бесплатные инструменты для выбора флюса, припоя и паяльника, расчёта температуры жала и диагностики дефектов пайки.</t>
        </is>
      </c>
      <c r="G3" s="15" t="inlineStr">
        <is>
          <t>инструменты для пайки онлайн</t>
        </is>
      </c>
      <c r="H3" s="15" t="inlineStr">
        <is>
          <t>Инструменты для пайки онлайн | SolderBlog</t>
        </is>
      </c>
      <c r="I3" s="15" t="inlineStr">
        <is>
          <t>https://site/instrumenty/</t>
        </is>
      </c>
      <c r="J3" s="15" t="inlineStr">
        <is>
          <t># Онлайн-инструменты для пайки
Бесплатные подборщики и калькуляторы для пайки без регистрации.
## План ИИ-изображений
- Обложка: паяльная станция, припой, флюс и ноутбук с нейтральным интерфейсом калькулятора.
&gt; Полный промпт — на листе `image_generation`.</t>
        </is>
      </c>
      <c r="K3" s="15" t="inlineStr">
        <is>
          <t>Рабочее место для пайки с онлайн-инструментами на ноутбуке</t>
        </is>
      </c>
      <c r="L3" s="15" t="inlineStr">
        <is>
          <t>подборщик флюса, калькулятор температуры, выбор паяльника</t>
        </is>
      </c>
      <c r="M3" s="15" t="inlineStr">
        <is>
          <t>ссылки на все инструменты</t>
        </is>
      </c>
      <c r="N3" s="15" t="inlineStr">
        <is>
          <t>Чеклист SKILL-04: требуется проверка</t>
        </is>
      </c>
      <c r="O3" s="15" t="inlineStr">
        <is>
          <t>шаблон</t>
        </is>
      </c>
      <c r="P3" s="16" t="inlineStr">
        <is>
          <t>На странице собраны бесплатные инструменты для выбора флюса, припоя и паяльника, расчёта температуры жала и диагностики дефектов.</t>
        </is>
      </c>
      <c r="Q3" s="16" t="inlineStr">
        <is>
          <t>Инструменты работают в браузере, без регистрации, бэкенда и передачи персональных данных.</t>
        </is>
      </c>
      <c r="R3" s="16" t="inlineStr">
        <is>
          <t>Как подобрать флюс? Как рассчитать температуру жала? Какой паяльник выбрать?</t>
        </is>
      </c>
      <c r="S3" s="16" t="inlineStr">
        <is>
          <t>Для каждого результата давать объяснение выбора и ссылку на подробную статью; показывать ограничения калькуляторов.</t>
        </is>
      </c>
      <c r="T3" s="16" t="inlineStr">
        <is>
          <t>подборщик флюса, подборщик припоя, калькулятор температуры пайки, диагностика дефекта</t>
        </is>
      </c>
      <c r="U3" s="16" t="inlineStr">
        <is>
          <t>CollectionPage + BreadcrumbList; для отдельных страниц — SoftwareApplication.</t>
        </is>
      </c>
      <c r="V3" s="16" t="inlineStr">
        <is>
          <t>Навигационно-информационный: пользователь ищет быстрый онлайн-помощник.</t>
        </is>
      </c>
      <c r="W3" s="16" t="inlineStr">
        <is>
          <t>инструменты для пайки онлайн; калькулятор пайки; выбрать флюс; температура жала</t>
        </is>
      </c>
      <c r="X3" s="16" t="inlineStr">
        <is>
          <t>H1 и title содержат «инструменты для пайки»; meta 130–160; canonical /instrumenty/.</t>
        </is>
      </c>
      <c r="Y3" s="16" t="inlineStr">
        <is>
          <t>Описания и ссылки доступны в исходном HTML; разрешить основных AI-ботов.</t>
        </is>
      </c>
      <c r="Z3" s="16" t="inlineStr">
        <is>
          <t>Добавить хаб в sitemap и Search Console; после публикации отправить IndexNow.</t>
        </is>
      </c>
      <c r="AA3" s="16" t="inlineStr">
        <is>
          <t>1 изображение: рабочее место и ноутбук с калькулятором.</t>
        </is>
      </c>
      <c r="AB3" s="16" t="inlineStr">
        <is>
          <t>Рабочее место для пайки с паяльной станцией, флюсом и ноутбуком.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 ht="15.75" customHeight="1" s="17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</row>
    <row r="22" ht="15.75" customHeight="1" s="17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  <row r="23" ht="15.75" customHeight="1" s="17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</row>
    <row r="24" ht="15.75" customHeight="1" s="17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</row>
    <row r="25" ht="15.75" customHeight="1" s="17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</row>
    <row r="26" ht="15.75" customHeight="1" s="17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 ht="15.75" customHeight="1" s="1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 ht="15.75" customHeight="1" s="17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</row>
    <row r="29" ht="15.75" customHeight="1" s="17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</row>
    <row r="30" ht="15.75" customHeight="1" s="17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</row>
    <row r="31" ht="15.75" customHeight="1" s="17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</row>
    <row r="32" ht="15.75" customHeight="1" s="17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 ht="15.75" customHeight="1" s="17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 ht="15.75" customHeight="1" s="17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</row>
    <row r="35" ht="15.75" customHeight="1" s="17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</row>
    <row r="36" ht="15.75" customHeight="1" s="17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</row>
    <row r="37" ht="15.75" customHeight="1" s="1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</row>
    <row r="38" ht="15.75" customHeight="1" s="17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</row>
    <row r="39" ht="15.75" customHeight="1" s="17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 ht="15.75" customHeight="1" s="17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</row>
    <row r="41" ht="15.75" customHeight="1" s="17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 ht="15.75" customHeight="1" s="17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</row>
    <row r="43" ht="15.75" customHeight="1" s="17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</row>
    <row r="44" ht="15.75" customHeight="1" s="17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</row>
    <row r="45" ht="15.75" customHeight="1" s="17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15.75" customHeight="1" s="17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15.75" customHeight="1" s="1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</row>
    <row r="48" ht="15.75" customHeight="1" s="17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15.75" customHeight="1" s="17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 ht="15.75" customHeight="1" s="17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15.75" customHeight="1" s="17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 ht="15.75" customHeight="1" s="17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 ht="15.75" customHeight="1" s="17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 ht="15.75" customHeight="1" s="17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15.75" customHeight="1" s="17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15.75" customHeight="1" s="17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15.75" customHeight="1" s="1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15.75" customHeight="1" s="17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15.75" customHeight="1" s="17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</row>
    <row r="60" ht="15.75" customHeight="1" s="17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 ht="15.75" customHeight="1" s="17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</row>
    <row r="62" ht="15.75" customHeight="1" s="17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</row>
    <row r="63" ht="15.75" customHeight="1" s="17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</row>
    <row r="64" ht="15.75" customHeight="1" s="17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</row>
    <row r="65" ht="15.75" customHeight="1" s="17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</row>
    <row r="66" ht="15.75" customHeight="1" s="17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</row>
    <row r="67" ht="15.75" customHeight="1" s="1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</row>
    <row r="68" ht="15.75" customHeight="1" s="17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</row>
    <row r="69" ht="15.75" customHeight="1" s="17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</row>
    <row r="70" ht="15.75" customHeight="1" s="17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</row>
    <row r="71" ht="15.75" customHeight="1" s="17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</row>
    <row r="72" ht="15.75" customHeight="1" s="17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</row>
    <row r="73" ht="15.75" customHeight="1" s="17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</row>
    <row r="74" ht="15.75" customHeight="1" s="17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</row>
    <row r="75" ht="15.75" customHeight="1" s="17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</row>
    <row r="76" ht="15.75" customHeight="1" s="17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</row>
    <row r="77" ht="15.75" customHeight="1" s="1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</row>
    <row r="78" ht="15.75" customHeight="1" s="17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</row>
    <row r="79" ht="15.75" customHeight="1" s="17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</row>
    <row r="80" ht="15.75" customHeight="1" s="17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</row>
    <row r="81" ht="15.75" customHeight="1" s="17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</row>
    <row r="82" ht="15.75" customHeight="1" s="17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</row>
    <row r="83" ht="15.75" customHeight="1" s="17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</row>
    <row r="84" ht="15.75" customHeight="1" s="17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</row>
    <row r="85" ht="15.75" customHeight="1" s="17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</row>
    <row r="86" ht="15.75" customHeight="1" s="17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</row>
    <row r="87" ht="15.75" customHeight="1" s="1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</row>
    <row r="88" ht="15.75" customHeight="1" s="17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</row>
    <row r="89" ht="15.75" customHeight="1" s="17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</row>
    <row r="90" ht="15.75" customHeight="1" s="17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</row>
    <row r="91" ht="15.75" customHeight="1" s="17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</row>
    <row r="92" ht="15.75" customHeight="1" s="17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</row>
    <row r="93" ht="15.75" customHeight="1" s="17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</row>
    <row r="94" ht="15.75" customHeight="1" s="17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</row>
    <row r="95" ht="15.75" customHeight="1" s="17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</row>
    <row r="96" ht="15.75" customHeight="1" s="17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</row>
    <row r="97" ht="15.75" customHeight="1" s="1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</row>
    <row r="98" ht="15.75" customHeight="1" s="17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</row>
    <row r="99" ht="15.75" customHeight="1" s="17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</row>
    <row r="100" ht="15.75" customHeight="1" s="17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</row>
    <row r="101" ht="15.75" customHeight="1" s="17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</row>
    <row r="102" ht="15.75" customHeight="1" s="17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</row>
    <row r="103" ht="15.75" customHeight="1" s="17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</row>
    <row r="104" ht="15.75" customHeight="1" s="17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</row>
    <row r="105" ht="15.75" customHeight="1" s="17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</row>
    <row r="106" ht="15.75" customHeight="1" s="17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</row>
    <row r="107" ht="15.75" customHeight="1" s="1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</row>
    <row r="108" ht="15.75" customHeight="1" s="17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</row>
    <row r="109" ht="15.75" customHeight="1" s="17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</row>
    <row r="110" ht="15.75" customHeight="1" s="17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</row>
    <row r="111" ht="15.75" customHeight="1" s="17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</row>
    <row r="112" ht="15.75" customHeight="1" s="17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</row>
    <row r="113" ht="15.75" customHeight="1" s="17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</row>
    <row r="114" ht="15.75" customHeight="1" s="17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</row>
    <row r="115" ht="15.75" customHeight="1" s="17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</row>
    <row r="116" ht="15.75" customHeight="1" s="17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</row>
    <row r="117" ht="15.75" customHeight="1" s="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</row>
    <row r="118" ht="15.75" customHeight="1" s="17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</row>
    <row r="119" ht="15.75" customHeight="1" s="17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</row>
    <row r="120" ht="15.75" customHeight="1" s="17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</row>
    <row r="121" ht="15.75" customHeight="1" s="17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</row>
    <row r="122" ht="15.75" customHeight="1" s="17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</row>
    <row r="123" ht="15.75" customHeight="1" s="17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</row>
    <row r="124" ht="15.75" customHeight="1" s="17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</row>
    <row r="125" ht="15.75" customHeight="1" s="17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</row>
    <row r="126" ht="15.75" customHeight="1" s="17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</row>
    <row r="127" ht="15.75" customHeight="1" s="1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</row>
    <row r="128" ht="15.75" customHeight="1" s="17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</row>
    <row r="129" ht="15.75" customHeight="1" s="17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</row>
    <row r="130" ht="15.75" customHeight="1" s="17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</row>
    <row r="131" ht="15.75" customHeight="1" s="17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</row>
    <row r="132" ht="15.75" customHeight="1" s="17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</row>
    <row r="133" ht="15.75" customHeight="1" s="17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</row>
    <row r="134" ht="15.75" customHeight="1" s="17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</row>
    <row r="135" ht="15.75" customHeight="1" s="17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</row>
    <row r="136" ht="15.75" customHeight="1" s="17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</row>
    <row r="137" ht="15.75" customHeight="1" s="1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</row>
    <row r="138" ht="15.75" customHeight="1" s="17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</row>
    <row r="139" ht="15.75" customHeight="1" s="17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</row>
    <row r="140" ht="15.75" customHeight="1" s="17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</row>
    <row r="141" ht="15.75" customHeight="1" s="17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</row>
    <row r="142" ht="15.75" customHeight="1" s="17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</row>
    <row r="143" ht="15.75" customHeight="1" s="17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</row>
    <row r="144" ht="15.75" customHeight="1" s="17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</row>
    <row r="145" ht="15.75" customHeight="1" s="17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</row>
    <row r="146" ht="15.75" customHeight="1" s="17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</row>
    <row r="147" ht="15.75" customHeight="1" s="1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</row>
    <row r="148" ht="15.75" customHeight="1" s="17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</row>
    <row r="149" ht="15.75" customHeight="1" s="17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</row>
    <row r="150" ht="15.75" customHeight="1" s="17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</row>
    <row r="151" ht="15.75" customHeight="1" s="17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</row>
    <row r="152" ht="15.75" customHeight="1" s="17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</row>
    <row r="153" ht="15.75" customHeight="1" s="17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</row>
    <row r="154" ht="15.75" customHeight="1" s="17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</row>
    <row r="155" ht="15.75" customHeight="1" s="17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</row>
    <row r="156" ht="15.75" customHeight="1" s="17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</row>
    <row r="157" ht="15.75" customHeight="1" s="1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</row>
    <row r="158" ht="15.75" customHeight="1" s="17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</row>
    <row r="159" ht="15.75" customHeight="1" s="17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</row>
    <row r="160" ht="15.75" customHeight="1" s="17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</row>
    <row r="161" ht="15.75" customHeight="1" s="17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</row>
    <row r="162" ht="15.75" customHeight="1" s="17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</row>
    <row r="163" ht="15.75" customHeight="1" s="17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</row>
    <row r="164" ht="15.75" customHeight="1" s="17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</row>
    <row r="165" ht="15.75" customHeight="1" s="17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</row>
    <row r="166" ht="15.75" customHeight="1" s="17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</row>
    <row r="167" ht="15.75" customHeight="1" s="1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</row>
    <row r="168" ht="15.75" customHeight="1" s="17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</row>
    <row r="169" ht="15.75" customHeight="1" s="17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</row>
    <row r="170" ht="15.75" customHeight="1" s="17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</row>
    <row r="171" ht="15.75" customHeight="1" s="17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</row>
    <row r="172" ht="15.75" customHeight="1" s="17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</row>
    <row r="173" ht="15.75" customHeight="1" s="17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</row>
    <row r="174" ht="15.75" customHeight="1" s="17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</row>
    <row r="175" ht="15.75" customHeight="1" s="17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</row>
    <row r="176" ht="15.75" customHeight="1" s="17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</row>
    <row r="177" ht="15.75" customHeight="1" s="1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</row>
    <row r="178" ht="15.75" customHeight="1" s="17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</row>
    <row r="179" ht="15.75" customHeight="1" s="17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</row>
    <row r="180" ht="15.75" customHeight="1" s="17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</row>
    <row r="181" ht="15.75" customHeight="1" s="17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</row>
    <row r="182" ht="15.75" customHeight="1" s="17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</row>
    <row r="183" ht="15.75" customHeight="1" s="17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</row>
    <row r="184" ht="15.75" customHeight="1" s="17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</row>
    <row r="185" ht="15.75" customHeight="1" s="17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</row>
    <row r="186" ht="15.75" customHeight="1" s="17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</row>
    <row r="187" ht="15.75" customHeight="1" s="1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</row>
    <row r="188" ht="15.75" customHeight="1" s="17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</row>
    <row r="189" ht="15.75" customHeight="1" s="17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</row>
    <row r="190" ht="15.75" customHeight="1" s="17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</row>
    <row r="191" ht="15.75" customHeight="1" s="17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</row>
    <row r="192" ht="15.75" customHeight="1" s="17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</row>
    <row r="193" ht="15.75" customHeight="1" s="17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</row>
    <row r="194" ht="15.75" customHeight="1" s="17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</row>
    <row r="195" ht="15.75" customHeight="1" s="17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</row>
    <row r="196" ht="15.75" customHeight="1" s="17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</row>
    <row r="197" ht="15.75" customHeight="1" s="1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</row>
    <row r="198" ht="15.75" customHeight="1" s="17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</row>
    <row r="199" ht="15.75" customHeight="1" s="17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</row>
    <row r="200" ht="15.75" customHeight="1" s="17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</row>
    <row r="201" ht="15.75" customHeight="1" s="17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</row>
    <row r="202" ht="15.75" customHeight="1" s="17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</row>
    <row r="203" ht="15.75" customHeight="1" s="17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</row>
    <row r="204" ht="15.75" customHeight="1" s="17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</row>
    <row r="205" ht="15.75" customHeight="1" s="17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</row>
    <row r="206" ht="15.75" customHeight="1" s="17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</row>
    <row r="207" ht="15.75" customHeight="1" s="1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</row>
    <row r="208" ht="15.75" customHeight="1" s="17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</row>
    <row r="209" ht="15.75" customHeight="1" s="17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</row>
    <row r="210" ht="15.75" customHeight="1" s="17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</row>
    <row r="211" ht="15.75" customHeight="1" s="17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</row>
    <row r="212" ht="15.75" customHeight="1" s="17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</row>
    <row r="213" ht="15.75" customHeight="1" s="17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</row>
    <row r="214" ht="15.75" customHeight="1" s="17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</row>
    <row r="215" ht="15.75" customHeight="1" s="17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</row>
    <row r="216" ht="15.75" customHeight="1" s="17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</row>
    <row r="217" ht="15.75" customHeight="1" s="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</row>
    <row r="218" ht="15.75" customHeight="1" s="17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</row>
    <row r="219" ht="15.75" customHeight="1" s="17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</row>
    <row r="220" ht="15.75" customHeight="1" s="17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</row>
    <row r="221" ht="15.75" customHeight="1" s="17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</row>
    <row r="222" ht="15.75" customHeight="1" s="17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</row>
    <row r="223" ht="15.75" customHeight="1" s="17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</row>
    <row r="224" ht="15.75" customHeight="1" s="17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</row>
    <row r="225" ht="15.75" customHeight="1" s="17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</row>
    <row r="226" ht="15.75" customHeight="1" s="17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</row>
    <row r="227" ht="15.75" customHeight="1" s="1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</row>
    <row r="228" ht="15.75" customHeight="1" s="17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</row>
    <row r="229" ht="15.75" customHeight="1" s="17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</row>
    <row r="230" ht="15.75" customHeight="1" s="17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</row>
    <row r="231" ht="15.75" customHeight="1" s="17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</row>
    <row r="232" ht="15.75" customHeight="1" s="17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</row>
    <row r="233" ht="15.75" customHeight="1" s="17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</row>
    <row r="234" ht="15.75" customHeight="1" s="17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</row>
    <row r="235" ht="15.75" customHeight="1" s="17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</row>
    <row r="236" ht="15.75" customHeight="1" s="17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</row>
    <row r="237" ht="15.75" customHeight="1" s="1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</row>
    <row r="238" ht="15.75" customHeight="1" s="17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</row>
    <row r="239" ht="15.75" customHeight="1" s="17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</row>
    <row r="240" ht="15.75" customHeight="1" s="17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</row>
    <row r="241" ht="15.75" customHeight="1" s="17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</row>
    <row r="242" ht="15.75" customHeight="1" s="17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</row>
    <row r="243" ht="15.75" customHeight="1" s="17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</row>
    <row r="244" ht="15.75" customHeight="1" s="17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</row>
    <row r="245" ht="15.75" customHeight="1" s="17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</row>
    <row r="246" ht="15.75" customHeight="1" s="17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</row>
    <row r="247" ht="15.75" customHeight="1" s="1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</row>
    <row r="248" ht="15.75" customHeight="1" s="17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</row>
    <row r="249" ht="15.75" customHeight="1" s="17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</row>
    <row r="250" ht="15.75" customHeight="1" s="17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</row>
    <row r="251" ht="15.75" customHeight="1" s="17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</row>
    <row r="252" ht="15.75" customHeight="1" s="17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</row>
    <row r="253" ht="15.75" customHeight="1" s="17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</row>
    <row r="254" ht="15.75" customHeight="1" s="17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</row>
    <row r="255" ht="15.75" customHeight="1" s="17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</row>
    <row r="256" ht="15.75" customHeight="1" s="17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</row>
    <row r="257" ht="15.75" customHeight="1" s="1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</row>
    <row r="258" ht="15.75" customHeight="1" s="17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</row>
    <row r="259" ht="15.75" customHeight="1" s="17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</row>
    <row r="260" ht="15.75" customHeight="1" s="17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</row>
    <row r="261" ht="15.75" customHeight="1" s="17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</row>
    <row r="262" ht="15.75" customHeight="1" s="17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</row>
    <row r="263" ht="15.75" customHeight="1" s="17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</row>
    <row r="264" ht="15.75" customHeight="1" s="17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</row>
    <row r="265" ht="15.75" customHeight="1" s="17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</row>
    <row r="266" ht="15.75" customHeight="1" s="17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</row>
    <row r="267" ht="15.75" customHeight="1" s="1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</row>
    <row r="268" ht="15.75" customHeight="1" s="17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</row>
    <row r="269" ht="15.75" customHeight="1" s="17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</row>
    <row r="270" ht="15.75" customHeight="1" s="17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</row>
    <row r="271" ht="15.75" customHeight="1" s="17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</row>
    <row r="272" ht="15.75" customHeight="1" s="17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</row>
    <row r="273" ht="15.75" customHeight="1" s="17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</row>
    <row r="274" ht="15.75" customHeight="1" s="17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</row>
    <row r="275" ht="15.75" customHeight="1" s="17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</row>
    <row r="276" ht="15.75" customHeight="1" s="17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</row>
    <row r="277" ht="15.75" customHeight="1" s="1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</row>
    <row r="278" ht="15.75" customHeight="1" s="17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</row>
    <row r="279" ht="15.75" customHeight="1" s="17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</row>
    <row r="280" ht="15.75" customHeight="1" s="17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</row>
    <row r="281" ht="15.75" customHeight="1" s="17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</row>
    <row r="282" ht="15.75" customHeight="1" s="17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</row>
    <row r="283" ht="15.75" customHeight="1" s="17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</row>
    <row r="284" ht="15.75" customHeight="1" s="17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</row>
    <row r="285" ht="15.75" customHeight="1" s="17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</row>
    <row r="286" ht="15.75" customHeight="1" s="17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</row>
    <row r="287" ht="15.75" customHeight="1" s="1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</row>
    <row r="288" ht="15.75" customHeight="1" s="17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</row>
    <row r="289" ht="15.75" customHeight="1" s="17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</row>
    <row r="290" ht="15.75" customHeight="1" s="17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</row>
    <row r="291" ht="15.75" customHeight="1" s="17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</row>
    <row r="292" ht="15.75" customHeight="1" s="17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</row>
    <row r="293" ht="15.75" customHeight="1" s="17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</row>
    <row r="294" ht="15.75" customHeight="1" s="17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</row>
    <row r="295" ht="15.75" customHeight="1" s="17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</row>
    <row r="296" ht="15.75" customHeight="1" s="17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</row>
    <row r="297" ht="15.75" customHeight="1" s="1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</row>
    <row r="298" ht="15.75" customHeight="1" s="17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</row>
    <row r="299" ht="15.75" customHeight="1" s="17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</row>
    <row r="300" ht="15.75" customHeight="1" s="17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</row>
    <row r="301" ht="15.75" customHeight="1" s="17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</row>
    <row r="302" ht="15.75" customHeight="1" s="17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</row>
    <row r="303" ht="15.75" customHeight="1" s="17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</row>
    <row r="304" ht="15.75" customHeight="1" s="17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</row>
    <row r="305" ht="15.75" customHeight="1" s="17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</row>
    <row r="306" ht="15.75" customHeight="1" s="17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</row>
    <row r="307" ht="15.75" customHeight="1" s="1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</row>
    <row r="308" ht="15.75" customHeight="1" s="17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</row>
    <row r="309" ht="15.75" customHeight="1" s="17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</row>
    <row r="310" ht="15.75" customHeight="1" s="17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</row>
    <row r="311" ht="15.75" customHeight="1" s="17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</row>
    <row r="312" ht="15.75" customHeight="1" s="17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</row>
    <row r="313" ht="15.75" customHeight="1" s="17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</row>
    <row r="314" ht="15.75" customHeight="1" s="17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</row>
    <row r="315" ht="15.75" customHeight="1" s="17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</row>
    <row r="316" ht="15.75" customHeight="1" s="17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</row>
    <row r="317" ht="15.75" customHeight="1" s="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</row>
    <row r="318" ht="15.75" customHeight="1" s="17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</row>
    <row r="319" ht="15.75" customHeight="1" s="17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</row>
    <row r="320" ht="15.75" customHeight="1" s="17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</row>
    <row r="321" ht="15.75" customHeight="1" s="17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</row>
    <row r="322" ht="15.75" customHeight="1" s="17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</row>
    <row r="323" ht="15.75" customHeight="1" s="17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</row>
    <row r="324" ht="15.75" customHeight="1" s="17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</row>
    <row r="325" ht="15.75" customHeight="1" s="17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</row>
    <row r="326" ht="15.75" customHeight="1" s="17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</row>
    <row r="327" ht="15.75" customHeight="1" s="1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</row>
    <row r="328" ht="15.75" customHeight="1" s="17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</row>
    <row r="329" ht="15.75" customHeight="1" s="17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</row>
    <row r="330" ht="15.75" customHeight="1" s="17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</row>
    <row r="331" ht="15.75" customHeight="1" s="17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</row>
    <row r="332" ht="15.75" customHeight="1" s="17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</row>
    <row r="333" ht="15.75" customHeight="1" s="17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</row>
    <row r="334" ht="15.75" customHeight="1" s="17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</row>
    <row r="335" ht="15.75" customHeight="1" s="17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</row>
    <row r="336" ht="15.75" customHeight="1" s="17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</row>
    <row r="337" ht="15.75" customHeight="1" s="1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</row>
    <row r="338" ht="15.75" customHeight="1" s="17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</row>
    <row r="339" ht="15.75" customHeight="1" s="17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</row>
    <row r="340" ht="15.75" customHeight="1" s="17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</row>
    <row r="341" ht="15.75" customHeight="1" s="17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</row>
    <row r="342" ht="15.75" customHeight="1" s="17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</row>
    <row r="343" ht="15.75" customHeight="1" s="17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</row>
    <row r="344" ht="15.75" customHeight="1" s="17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</row>
    <row r="345" ht="15.75" customHeight="1" s="17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</row>
    <row r="346" ht="15.75" customHeight="1" s="17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</row>
    <row r="347" ht="15.75" customHeight="1" s="1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</row>
    <row r="348" ht="15.75" customHeight="1" s="17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</row>
    <row r="349" ht="15.75" customHeight="1" s="17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</row>
    <row r="350" ht="15.75" customHeight="1" s="17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</row>
    <row r="351" ht="15.75" customHeight="1" s="17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</row>
    <row r="352" ht="15.75" customHeight="1" s="17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</row>
    <row r="353" ht="15.75" customHeight="1" s="17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</row>
    <row r="354" ht="15.75" customHeight="1" s="17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</row>
    <row r="355" ht="15.75" customHeight="1" s="17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</row>
    <row r="356" ht="15.75" customHeight="1" s="17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</row>
    <row r="357" ht="15.75" customHeight="1" s="1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</row>
    <row r="358" ht="15.75" customHeight="1" s="17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</row>
    <row r="359" ht="15.75" customHeight="1" s="17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</row>
    <row r="360" ht="15.75" customHeight="1" s="17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</row>
    <row r="361" ht="15.75" customHeight="1" s="17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</row>
    <row r="362" ht="15.75" customHeight="1" s="17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</row>
    <row r="363" ht="15.75" customHeight="1" s="17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</row>
    <row r="364" ht="15.75" customHeight="1" s="17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</row>
    <row r="365" ht="15.75" customHeight="1" s="17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</row>
    <row r="366" ht="15.75" customHeight="1" s="17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</row>
    <row r="367" ht="15.75" customHeight="1" s="1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</row>
    <row r="368" ht="15.75" customHeight="1" s="17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</row>
    <row r="369" ht="15.75" customHeight="1" s="17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</row>
    <row r="370" ht="15.75" customHeight="1" s="17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</row>
    <row r="371" ht="15.75" customHeight="1" s="17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</row>
    <row r="372" ht="15.75" customHeight="1" s="17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</row>
    <row r="373" ht="15.75" customHeight="1" s="17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</row>
    <row r="374" ht="15.75" customHeight="1" s="17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</row>
    <row r="375" ht="15.75" customHeight="1" s="17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</row>
    <row r="376" ht="15.75" customHeight="1" s="17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</row>
    <row r="377" ht="15.75" customHeight="1" s="1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</row>
    <row r="378" ht="15.75" customHeight="1" s="17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</row>
    <row r="379" ht="15.75" customHeight="1" s="17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</row>
    <row r="380" ht="15.75" customHeight="1" s="17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</row>
    <row r="381" ht="15.75" customHeight="1" s="17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</row>
    <row r="382" ht="15.75" customHeight="1" s="17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</row>
    <row r="383" ht="15.75" customHeight="1" s="17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</row>
    <row r="384" ht="15.75" customHeight="1" s="17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</row>
    <row r="385" ht="15.75" customHeight="1" s="17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</row>
    <row r="386" ht="15.75" customHeight="1" s="17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</row>
    <row r="387" ht="15.75" customHeight="1" s="1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</row>
    <row r="388" ht="15.75" customHeight="1" s="17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</row>
    <row r="389" ht="15.75" customHeight="1" s="17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</row>
    <row r="390" ht="15.75" customHeight="1" s="17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</row>
    <row r="391" ht="15.75" customHeight="1" s="17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</row>
    <row r="392" ht="15.75" customHeight="1" s="17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</row>
    <row r="393" ht="15.75" customHeight="1" s="17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</row>
    <row r="394" ht="15.75" customHeight="1" s="17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</row>
    <row r="395" ht="15.75" customHeight="1" s="17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</row>
    <row r="396" ht="15.75" customHeight="1" s="17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</row>
    <row r="397" ht="15.75" customHeight="1" s="1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</row>
    <row r="398" ht="15.75" customHeight="1" s="17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</row>
    <row r="399" ht="15.75" customHeight="1" s="17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</row>
    <row r="400" ht="15.75" customHeight="1" s="17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</row>
    <row r="401" ht="15.75" customHeight="1" s="17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</row>
    <row r="402" ht="15.75" customHeight="1" s="17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</row>
    <row r="403" ht="15.75" customHeight="1" s="17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</row>
    <row r="404" ht="15.75" customHeight="1" s="17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</row>
    <row r="405" ht="15.75" customHeight="1" s="17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</row>
    <row r="406" ht="15.75" customHeight="1" s="17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</row>
    <row r="407" ht="15.75" customHeight="1" s="1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</row>
    <row r="408" ht="15.75" customHeight="1" s="17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</row>
    <row r="409" ht="15.75" customHeight="1" s="17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</row>
    <row r="410" ht="15.75" customHeight="1" s="17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</row>
    <row r="411" ht="15.75" customHeight="1" s="17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</row>
    <row r="412" ht="15.75" customHeight="1" s="17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</row>
    <row r="413" ht="15.75" customHeight="1" s="17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</row>
    <row r="414" ht="15.75" customHeight="1" s="17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</row>
    <row r="415" ht="15.75" customHeight="1" s="17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</row>
    <row r="416" ht="15.75" customHeight="1" s="17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</row>
    <row r="417" ht="15.75" customHeight="1" s="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</row>
    <row r="418" ht="15.75" customHeight="1" s="17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</row>
    <row r="419" ht="15.75" customHeight="1" s="17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</row>
    <row r="420" ht="15.75" customHeight="1" s="17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</row>
    <row r="421" ht="15.75" customHeight="1" s="17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</row>
    <row r="422" ht="15.75" customHeight="1" s="17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</row>
    <row r="423" ht="15.75" customHeight="1" s="17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</row>
    <row r="424" ht="15.75" customHeight="1" s="17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</row>
    <row r="425" ht="15.75" customHeight="1" s="17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</row>
    <row r="426" ht="15.75" customHeight="1" s="17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</row>
    <row r="427" ht="15.75" customHeight="1" s="1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</row>
    <row r="428" ht="15.75" customHeight="1" s="17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</row>
    <row r="429" ht="15.75" customHeight="1" s="17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</row>
    <row r="430" ht="15.75" customHeight="1" s="17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</row>
    <row r="431" ht="15.75" customHeight="1" s="17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</row>
    <row r="432" ht="15.75" customHeight="1" s="17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</row>
    <row r="433" ht="15.75" customHeight="1" s="17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</row>
    <row r="434" ht="15.75" customHeight="1" s="17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</row>
    <row r="435" ht="15.75" customHeight="1" s="17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</row>
    <row r="436" ht="15.75" customHeight="1" s="17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</row>
    <row r="437" ht="15.75" customHeight="1" s="1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</row>
    <row r="438" ht="15.75" customHeight="1" s="17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</row>
    <row r="439" ht="15.75" customHeight="1" s="17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</row>
    <row r="440" ht="15.75" customHeight="1" s="17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</row>
    <row r="441" ht="15.75" customHeight="1" s="17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</row>
    <row r="442" ht="15.75" customHeight="1" s="17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</row>
    <row r="443" ht="15.75" customHeight="1" s="17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</row>
    <row r="444" ht="15.75" customHeight="1" s="17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</row>
    <row r="445" ht="15.75" customHeight="1" s="17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</row>
    <row r="446" ht="15.75" customHeight="1" s="17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</row>
    <row r="447" ht="15.75" customHeight="1" s="1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</row>
    <row r="448" ht="15.75" customHeight="1" s="17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</row>
    <row r="449" ht="15.75" customHeight="1" s="17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</row>
    <row r="450" ht="15.75" customHeight="1" s="17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</row>
    <row r="451" ht="15.75" customHeight="1" s="17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</row>
    <row r="452" ht="15.75" customHeight="1" s="17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</row>
    <row r="453" ht="15.75" customHeight="1" s="17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</row>
    <row r="454" ht="15.75" customHeight="1" s="17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</row>
    <row r="455" ht="15.75" customHeight="1" s="17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</row>
    <row r="456" ht="15.75" customHeight="1" s="17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</row>
    <row r="457" ht="15.75" customHeight="1" s="1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</row>
    <row r="458" ht="15.75" customHeight="1" s="17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</row>
    <row r="459" ht="15.75" customHeight="1" s="17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</row>
    <row r="460" ht="15.75" customHeight="1" s="17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</row>
    <row r="461" ht="15.75" customHeight="1" s="17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</row>
    <row r="462" ht="15.75" customHeight="1" s="17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</row>
    <row r="463" ht="15.75" customHeight="1" s="17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</row>
    <row r="464" ht="15.75" customHeight="1" s="17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</row>
    <row r="465" ht="15.75" customHeight="1" s="17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</row>
    <row r="466" ht="15.75" customHeight="1" s="17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</row>
    <row r="467" ht="15.75" customHeight="1" s="1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</row>
    <row r="468" ht="15.75" customHeight="1" s="17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</row>
    <row r="469" ht="15.75" customHeight="1" s="17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</row>
    <row r="470" ht="15.75" customHeight="1" s="17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</row>
    <row r="471" ht="15.75" customHeight="1" s="17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</row>
    <row r="472" ht="15.75" customHeight="1" s="17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</row>
    <row r="473" ht="15.75" customHeight="1" s="17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</row>
    <row r="474" ht="15.75" customHeight="1" s="17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</row>
    <row r="475" ht="15.75" customHeight="1" s="17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</row>
    <row r="476" ht="15.75" customHeight="1" s="17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</row>
    <row r="477" ht="15.75" customHeight="1" s="1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</row>
    <row r="478" ht="15.75" customHeight="1" s="17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</row>
    <row r="479" ht="15.75" customHeight="1" s="17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</row>
    <row r="480" ht="15.75" customHeight="1" s="17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</row>
    <row r="481" ht="15.75" customHeight="1" s="17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</row>
    <row r="482" ht="15.75" customHeight="1" s="17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</row>
    <row r="483" ht="15.75" customHeight="1" s="17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</row>
    <row r="484" ht="15.75" customHeight="1" s="17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</row>
    <row r="485" ht="15.75" customHeight="1" s="17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</row>
    <row r="486" ht="15.75" customHeight="1" s="17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</row>
    <row r="487" ht="15.75" customHeight="1" s="1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</row>
    <row r="488" ht="15.75" customHeight="1" s="17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</row>
    <row r="489" ht="15.75" customHeight="1" s="17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</row>
    <row r="490" ht="15.75" customHeight="1" s="17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</row>
    <row r="491" ht="15.75" customHeight="1" s="17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</row>
    <row r="492" ht="15.75" customHeight="1" s="17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</row>
    <row r="493" ht="15.75" customHeight="1" s="17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</row>
    <row r="494" ht="15.75" customHeight="1" s="17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</row>
    <row r="495" ht="15.75" customHeight="1" s="17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</row>
    <row r="496" ht="15.75" customHeight="1" s="17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</row>
    <row r="497" ht="15.75" customHeight="1" s="1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</row>
    <row r="498" ht="15.75" customHeight="1" s="17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</row>
    <row r="499" ht="15.75" customHeight="1" s="17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</row>
    <row r="500" ht="15.75" customHeight="1" s="17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</row>
    <row r="501" ht="15.75" customHeight="1" s="17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</row>
    <row r="502" ht="15.75" customHeight="1" s="17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</row>
    <row r="503" ht="15.75" customHeight="1" s="17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</row>
    <row r="504" ht="15.75" customHeight="1" s="17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</row>
    <row r="505" ht="15.75" customHeight="1" s="17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</row>
    <row r="506" ht="15.75" customHeight="1" s="17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</row>
    <row r="507" ht="15.75" customHeight="1" s="1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</row>
    <row r="508" ht="15.75" customHeight="1" s="17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</row>
    <row r="509" ht="15.75" customHeight="1" s="17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</row>
    <row r="510" ht="15.75" customHeight="1" s="17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</row>
    <row r="511" ht="15.75" customHeight="1" s="17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</row>
    <row r="512" ht="15.75" customHeight="1" s="17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</row>
    <row r="513" ht="15.75" customHeight="1" s="17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</row>
    <row r="514" ht="15.75" customHeight="1" s="17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</row>
    <row r="515" ht="15.75" customHeight="1" s="17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</row>
    <row r="516" ht="15.75" customHeight="1" s="17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</row>
    <row r="517" ht="15.75" customHeight="1" s="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</row>
    <row r="518" ht="15.75" customHeight="1" s="17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</row>
    <row r="519" ht="15.75" customHeight="1" s="17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</row>
    <row r="520" ht="15.75" customHeight="1" s="17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</row>
    <row r="521" ht="15.75" customHeight="1" s="17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</row>
    <row r="522" ht="15.75" customHeight="1" s="17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</row>
    <row r="523" ht="15.75" customHeight="1" s="17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</row>
    <row r="524" ht="15.75" customHeight="1" s="17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</row>
    <row r="525" ht="15.75" customHeight="1" s="17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</row>
    <row r="526" ht="15.75" customHeight="1" s="17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</row>
    <row r="527" ht="15.75" customHeight="1" s="1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</row>
    <row r="528" ht="15.75" customHeight="1" s="17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</row>
    <row r="529" ht="15.75" customHeight="1" s="17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</row>
    <row r="530" ht="15.75" customHeight="1" s="17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</row>
    <row r="531" ht="15.75" customHeight="1" s="17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</row>
    <row r="532" ht="15.75" customHeight="1" s="17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</row>
    <row r="533" ht="15.75" customHeight="1" s="17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</row>
    <row r="534" ht="15.75" customHeight="1" s="17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</row>
    <row r="535" ht="15.75" customHeight="1" s="17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</row>
    <row r="536" ht="15.75" customHeight="1" s="17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</row>
    <row r="537" ht="15.75" customHeight="1" s="1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</row>
    <row r="538" ht="15.75" customHeight="1" s="17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</row>
    <row r="539" ht="15.75" customHeight="1" s="17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</row>
    <row r="540" ht="15.75" customHeight="1" s="17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</row>
    <row r="541" ht="15.75" customHeight="1" s="17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</row>
    <row r="542" ht="15.75" customHeight="1" s="17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</row>
    <row r="543" ht="15.75" customHeight="1" s="17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</row>
    <row r="544" ht="15.75" customHeight="1" s="17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</row>
    <row r="545" ht="15.75" customHeight="1" s="17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</row>
    <row r="546" ht="15.75" customHeight="1" s="17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</row>
    <row r="547" ht="15.75" customHeight="1" s="1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</row>
    <row r="548" ht="15.75" customHeight="1" s="17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</row>
    <row r="549" ht="15.75" customHeight="1" s="17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</row>
    <row r="550" ht="15.75" customHeight="1" s="17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</row>
    <row r="551" ht="15.75" customHeight="1" s="17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</row>
    <row r="552" ht="15.75" customHeight="1" s="17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</row>
    <row r="553" ht="15.75" customHeight="1" s="17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</row>
    <row r="554" ht="15.75" customHeight="1" s="17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</row>
    <row r="555" ht="15.75" customHeight="1" s="17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</row>
    <row r="556" ht="15.75" customHeight="1" s="17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</row>
    <row r="557" ht="15.75" customHeight="1" s="1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</row>
    <row r="558" ht="15.75" customHeight="1" s="17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</row>
    <row r="559" ht="15.75" customHeight="1" s="17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</row>
    <row r="560" ht="15.75" customHeight="1" s="17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</row>
    <row r="561" ht="15.75" customHeight="1" s="17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</row>
    <row r="562" ht="15.75" customHeight="1" s="17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</row>
    <row r="563" ht="15.75" customHeight="1" s="17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</row>
    <row r="564" ht="15.75" customHeight="1" s="17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</row>
    <row r="565" ht="15.75" customHeight="1" s="17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</row>
    <row r="566" ht="15.75" customHeight="1" s="17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</row>
    <row r="567" ht="15.75" customHeight="1" s="1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</row>
    <row r="568" ht="15.75" customHeight="1" s="17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</row>
    <row r="569" ht="15.75" customHeight="1" s="17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</row>
    <row r="570" ht="15.75" customHeight="1" s="17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</row>
    <row r="571" ht="15.75" customHeight="1" s="17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</row>
    <row r="572" ht="15.75" customHeight="1" s="17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</row>
    <row r="573" ht="15.75" customHeight="1" s="17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</row>
    <row r="574" ht="15.75" customHeight="1" s="17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</row>
    <row r="575" ht="15.75" customHeight="1" s="17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</row>
    <row r="576" ht="15.75" customHeight="1" s="17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</row>
    <row r="577" ht="15.75" customHeight="1" s="1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</row>
    <row r="578" ht="15.75" customHeight="1" s="17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</row>
    <row r="579" ht="15.75" customHeight="1" s="17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</row>
    <row r="580" ht="15.75" customHeight="1" s="17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</row>
    <row r="581" ht="15.75" customHeight="1" s="17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</row>
    <row r="582" ht="15.75" customHeight="1" s="17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</row>
    <row r="583" ht="15.75" customHeight="1" s="17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</row>
    <row r="584" ht="15.75" customHeight="1" s="17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</row>
    <row r="585" ht="15.75" customHeight="1" s="17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</row>
    <row r="586" ht="15.75" customHeight="1" s="17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</row>
    <row r="587" ht="15.75" customHeight="1" s="1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</row>
    <row r="588" ht="15.75" customHeight="1" s="17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</row>
    <row r="589" ht="15.75" customHeight="1" s="17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</row>
    <row r="590" ht="15.75" customHeight="1" s="17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</row>
    <row r="591" ht="15.75" customHeight="1" s="17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</row>
    <row r="592" ht="15.75" customHeight="1" s="17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</row>
    <row r="593" ht="15.75" customHeight="1" s="17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</row>
    <row r="594" ht="15.75" customHeight="1" s="17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</row>
    <row r="595" ht="15.75" customHeight="1" s="17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</row>
    <row r="596" ht="15.75" customHeight="1" s="17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</row>
    <row r="597" ht="15.75" customHeight="1" s="1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</row>
    <row r="598" ht="15.75" customHeight="1" s="17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</row>
    <row r="599" ht="15.75" customHeight="1" s="17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</row>
    <row r="600" ht="15.75" customHeight="1" s="17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</row>
    <row r="601" ht="15.75" customHeight="1" s="17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</row>
    <row r="602" ht="15.75" customHeight="1" s="17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</row>
    <row r="603" ht="15.75" customHeight="1" s="17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</row>
    <row r="604" ht="15.75" customHeight="1" s="17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</row>
    <row r="605" ht="15.75" customHeight="1" s="17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</row>
    <row r="606" ht="15.75" customHeight="1" s="17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</row>
    <row r="607" ht="15.75" customHeight="1" s="1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</row>
    <row r="608" ht="15.75" customHeight="1" s="17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</row>
    <row r="609" ht="15.75" customHeight="1" s="17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</row>
    <row r="610" ht="15.75" customHeight="1" s="17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</row>
    <row r="611" ht="15.75" customHeight="1" s="17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</row>
    <row r="612" ht="15.75" customHeight="1" s="17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</row>
    <row r="613" ht="15.75" customHeight="1" s="17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</row>
    <row r="614" ht="15.75" customHeight="1" s="17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</row>
    <row r="615" ht="15.75" customHeight="1" s="17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</row>
    <row r="616" ht="15.75" customHeight="1" s="17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</row>
    <row r="617" ht="15.75" customHeight="1" s="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</row>
    <row r="618" ht="15.75" customHeight="1" s="17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</row>
    <row r="619" ht="15.75" customHeight="1" s="17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</row>
    <row r="620" ht="15.75" customHeight="1" s="17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</row>
    <row r="621" ht="15.75" customHeight="1" s="17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</row>
    <row r="622" ht="15.75" customHeight="1" s="17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</row>
    <row r="623" ht="15.75" customHeight="1" s="17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</row>
    <row r="624" ht="15.75" customHeight="1" s="17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</row>
    <row r="625" ht="15.75" customHeight="1" s="17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</row>
    <row r="626" ht="15.75" customHeight="1" s="17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</row>
    <row r="627" ht="15.75" customHeight="1" s="1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</row>
    <row r="628" ht="15.75" customHeight="1" s="17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</row>
    <row r="629" ht="15.75" customHeight="1" s="17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</row>
    <row r="630" ht="15.75" customHeight="1" s="17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</row>
    <row r="631" ht="15.75" customHeight="1" s="17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</row>
    <row r="632" ht="15.75" customHeight="1" s="17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</row>
    <row r="633" ht="15.75" customHeight="1" s="17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</row>
    <row r="634" ht="15.75" customHeight="1" s="17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</row>
    <row r="635" ht="15.75" customHeight="1" s="17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</row>
    <row r="636" ht="15.75" customHeight="1" s="17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</row>
    <row r="637" ht="15.75" customHeight="1" s="1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</row>
    <row r="638" ht="15.75" customHeight="1" s="17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</row>
    <row r="639" ht="15.75" customHeight="1" s="17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</row>
    <row r="640" ht="15.75" customHeight="1" s="17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</row>
    <row r="641" ht="15.75" customHeight="1" s="17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</row>
    <row r="642" ht="15.75" customHeight="1" s="17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</row>
    <row r="643" ht="15.75" customHeight="1" s="17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</row>
    <row r="644" ht="15.75" customHeight="1" s="17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</row>
    <row r="645" ht="15.75" customHeight="1" s="17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</row>
    <row r="646" ht="15.75" customHeight="1" s="17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</row>
    <row r="647" ht="15.75" customHeight="1" s="1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</row>
    <row r="648" ht="15.75" customHeight="1" s="17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</row>
    <row r="649" ht="15.75" customHeight="1" s="17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</row>
    <row r="650" ht="15.75" customHeight="1" s="17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</row>
    <row r="651" ht="15.75" customHeight="1" s="17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</row>
    <row r="652" ht="15.75" customHeight="1" s="17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</row>
    <row r="653" ht="15.75" customHeight="1" s="17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</row>
    <row r="654" ht="15.75" customHeight="1" s="17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</row>
    <row r="655" ht="15.75" customHeight="1" s="17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</row>
    <row r="656" ht="15.75" customHeight="1" s="17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</row>
    <row r="657" ht="15.75" customHeight="1" s="1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</row>
    <row r="658" ht="15.75" customHeight="1" s="17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</row>
    <row r="659" ht="15.75" customHeight="1" s="17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</row>
    <row r="660" ht="15.75" customHeight="1" s="17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</row>
    <row r="661" ht="15.75" customHeight="1" s="17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</row>
    <row r="662" ht="15.75" customHeight="1" s="17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</row>
    <row r="663" ht="15.75" customHeight="1" s="17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</row>
    <row r="664" ht="15.75" customHeight="1" s="17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</row>
    <row r="665" ht="15.75" customHeight="1" s="17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</row>
    <row r="666" ht="15.75" customHeight="1" s="17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</row>
    <row r="667" ht="15.75" customHeight="1" s="1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</row>
    <row r="668" ht="15.75" customHeight="1" s="17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</row>
    <row r="669" ht="15.75" customHeight="1" s="17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</row>
    <row r="670" ht="15.75" customHeight="1" s="17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</row>
    <row r="671" ht="15.75" customHeight="1" s="17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</row>
    <row r="672" ht="15.75" customHeight="1" s="17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</row>
    <row r="673" ht="15.75" customHeight="1" s="17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</row>
    <row r="674" ht="15.75" customHeight="1" s="17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</row>
    <row r="675" ht="15.75" customHeight="1" s="17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</row>
    <row r="676" ht="15.75" customHeight="1" s="17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</row>
    <row r="677" ht="15.75" customHeight="1" s="1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</row>
    <row r="678" ht="15.75" customHeight="1" s="17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</row>
    <row r="679" ht="15.75" customHeight="1" s="17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</row>
    <row r="680" ht="15.75" customHeight="1" s="17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</row>
    <row r="681" ht="15.75" customHeight="1" s="17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</row>
    <row r="682" ht="15.75" customHeight="1" s="17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</row>
    <row r="683" ht="15.75" customHeight="1" s="17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</row>
    <row r="684" ht="15.75" customHeight="1" s="17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</row>
    <row r="685" ht="15.75" customHeight="1" s="17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</row>
    <row r="686" ht="15.75" customHeight="1" s="17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</row>
    <row r="687" ht="15.75" customHeight="1" s="1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</row>
    <row r="688" ht="15.75" customHeight="1" s="17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</row>
    <row r="689" ht="15.75" customHeight="1" s="17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</row>
    <row r="690" ht="15.75" customHeight="1" s="17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</row>
    <row r="691" ht="15.75" customHeight="1" s="17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</row>
    <row r="692" ht="15.75" customHeight="1" s="17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</row>
    <row r="693" ht="15.75" customHeight="1" s="17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</row>
    <row r="694" ht="15.75" customHeight="1" s="17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</row>
    <row r="695" ht="15.75" customHeight="1" s="17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</row>
    <row r="696" ht="15.75" customHeight="1" s="17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</row>
    <row r="697" ht="15.75" customHeight="1" s="1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</row>
    <row r="698" ht="15.75" customHeight="1" s="17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</row>
    <row r="699" ht="15.75" customHeight="1" s="17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</row>
    <row r="700" ht="15.75" customHeight="1" s="17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</row>
    <row r="701" ht="15.75" customHeight="1" s="17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</row>
    <row r="702" ht="15.75" customHeight="1" s="17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</row>
    <row r="703" ht="15.75" customHeight="1" s="17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</row>
    <row r="704" ht="15.75" customHeight="1" s="17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</row>
    <row r="705" ht="15.75" customHeight="1" s="17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</row>
    <row r="706" ht="15.75" customHeight="1" s="17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</row>
    <row r="707" ht="15.75" customHeight="1" s="1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</row>
    <row r="708" ht="15.75" customHeight="1" s="17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</row>
    <row r="709" ht="15.75" customHeight="1" s="17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</row>
    <row r="710" ht="15.75" customHeight="1" s="17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</row>
    <row r="711" ht="15.75" customHeight="1" s="17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</row>
    <row r="712" ht="15.75" customHeight="1" s="17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</row>
    <row r="713" ht="15.75" customHeight="1" s="17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</row>
    <row r="714" ht="15.75" customHeight="1" s="17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</row>
    <row r="715" ht="15.75" customHeight="1" s="17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</row>
    <row r="716" ht="15.75" customHeight="1" s="17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</row>
    <row r="717" ht="15.75" customHeight="1" s="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</row>
    <row r="718" ht="15.75" customHeight="1" s="17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</row>
    <row r="719" ht="15.75" customHeight="1" s="17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</row>
    <row r="720" ht="15.75" customHeight="1" s="17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</row>
    <row r="721" ht="15.75" customHeight="1" s="17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</row>
    <row r="722" ht="15.75" customHeight="1" s="17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</row>
    <row r="723" ht="15.75" customHeight="1" s="17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</row>
    <row r="724" ht="15.75" customHeight="1" s="17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</row>
    <row r="725" ht="15.75" customHeight="1" s="17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</row>
    <row r="726" ht="15.75" customHeight="1" s="17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</row>
    <row r="727" ht="15.75" customHeight="1" s="1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</row>
    <row r="728" ht="15.75" customHeight="1" s="17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</row>
    <row r="729" ht="15.75" customHeight="1" s="17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</row>
    <row r="730" ht="15.75" customHeight="1" s="17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</row>
    <row r="731" ht="15.75" customHeight="1" s="17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</row>
    <row r="732" ht="15.75" customHeight="1" s="17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</row>
    <row r="733" ht="15.75" customHeight="1" s="17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</row>
    <row r="734" ht="15.75" customHeight="1" s="17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</row>
    <row r="735" ht="15.75" customHeight="1" s="17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</row>
    <row r="736" ht="15.75" customHeight="1" s="17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</row>
    <row r="737" ht="15.75" customHeight="1" s="1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</row>
    <row r="738" ht="15.75" customHeight="1" s="17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</row>
    <row r="739" ht="15.75" customHeight="1" s="17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</row>
    <row r="740" ht="15.75" customHeight="1" s="17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</row>
    <row r="741" ht="15.75" customHeight="1" s="17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</row>
    <row r="742" ht="15.75" customHeight="1" s="17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</row>
    <row r="743" ht="15.75" customHeight="1" s="17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</row>
    <row r="744" ht="15.75" customHeight="1" s="17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</row>
    <row r="745" ht="15.75" customHeight="1" s="17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</row>
    <row r="746" ht="15.75" customHeight="1" s="17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</row>
    <row r="747" ht="15.75" customHeight="1" s="1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</row>
    <row r="748" ht="15.75" customHeight="1" s="17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</row>
    <row r="749" ht="15.75" customHeight="1" s="17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</row>
    <row r="750" ht="15.75" customHeight="1" s="17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</row>
    <row r="751" ht="15.75" customHeight="1" s="17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</row>
    <row r="752" ht="15.75" customHeight="1" s="17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</row>
    <row r="753" ht="15.75" customHeight="1" s="17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</row>
    <row r="754" ht="15.75" customHeight="1" s="17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</row>
    <row r="755" ht="15.75" customHeight="1" s="17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</row>
    <row r="756" ht="15.75" customHeight="1" s="17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</row>
    <row r="757" ht="15.75" customHeight="1" s="1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</row>
    <row r="758" ht="15.75" customHeight="1" s="17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</row>
    <row r="759" ht="15.75" customHeight="1" s="17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</row>
    <row r="760" ht="15.75" customHeight="1" s="17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</row>
    <row r="761" ht="15.75" customHeight="1" s="17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</row>
    <row r="762" ht="15.75" customHeight="1" s="17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</row>
    <row r="763" ht="15.75" customHeight="1" s="17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</row>
    <row r="764" ht="15.75" customHeight="1" s="17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</row>
    <row r="765" ht="15.75" customHeight="1" s="17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</row>
    <row r="766" ht="15.75" customHeight="1" s="17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</row>
    <row r="767" ht="15.75" customHeight="1" s="1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</row>
    <row r="768" ht="15.75" customHeight="1" s="17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</row>
    <row r="769" ht="15.75" customHeight="1" s="17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</row>
    <row r="770" ht="15.75" customHeight="1" s="17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</row>
    <row r="771" ht="15.75" customHeight="1" s="17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</row>
    <row r="772" ht="15.75" customHeight="1" s="17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</row>
    <row r="773" ht="15.75" customHeight="1" s="17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</row>
    <row r="774" ht="15.75" customHeight="1" s="17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</row>
    <row r="775" ht="15.75" customHeight="1" s="17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</row>
    <row r="776" ht="15.75" customHeight="1" s="17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</row>
    <row r="777" ht="15.75" customHeight="1" s="1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</row>
    <row r="778" ht="15.75" customHeight="1" s="17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</row>
    <row r="779" ht="15.75" customHeight="1" s="17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</row>
    <row r="780" ht="15.75" customHeight="1" s="17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</row>
    <row r="781" ht="15.75" customHeight="1" s="17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</row>
    <row r="782" ht="15.75" customHeight="1" s="17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</row>
    <row r="783" ht="15.75" customHeight="1" s="17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</row>
    <row r="784" ht="15.75" customHeight="1" s="17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</row>
    <row r="785" ht="15.75" customHeight="1" s="17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</row>
    <row r="786" ht="15.75" customHeight="1" s="17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</row>
    <row r="787" ht="15.75" customHeight="1" s="1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</row>
    <row r="788" ht="15.75" customHeight="1" s="17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</row>
    <row r="789" ht="15.75" customHeight="1" s="17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</row>
    <row r="790" ht="15.75" customHeight="1" s="17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</row>
    <row r="791" ht="15.75" customHeight="1" s="17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</row>
    <row r="792" ht="15.75" customHeight="1" s="17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</row>
    <row r="793" ht="15.75" customHeight="1" s="17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</row>
    <row r="794" ht="15.75" customHeight="1" s="17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</row>
    <row r="795" ht="15.75" customHeight="1" s="17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</row>
    <row r="796" ht="15.75" customHeight="1" s="17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</row>
    <row r="797" ht="15.75" customHeight="1" s="1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</row>
    <row r="798" ht="15.75" customHeight="1" s="17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</row>
    <row r="799" ht="15.75" customHeight="1" s="17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</row>
    <row r="800" ht="15.75" customHeight="1" s="17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</row>
    <row r="801" ht="15.75" customHeight="1" s="17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</row>
    <row r="802" ht="15.75" customHeight="1" s="17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</row>
    <row r="803" ht="15.75" customHeight="1" s="17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</row>
    <row r="804" ht="15.75" customHeight="1" s="17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</row>
    <row r="805" ht="15.75" customHeight="1" s="17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</row>
    <row r="806" ht="15.75" customHeight="1" s="17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</row>
    <row r="807" ht="15.75" customHeight="1" s="1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</row>
    <row r="808" ht="15.75" customHeight="1" s="17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</row>
    <row r="809" ht="15.75" customHeight="1" s="17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</row>
    <row r="810" ht="15.75" customHeight="1" s="17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</row>
    <row r="811" ht="15.75" customHeight="1" s="17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</row>
    <row r="812" ht="15.75" customHeight="1" s="17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</row>
    <row r="813" ht="15.75" customHeight="1" s="17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</row>
    <row r="814" ht="15.75" customHeight="1" s="17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</row>
    <row r="815" ht="15.75" customHeight="1" s="17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</row>
    <row r="816" ht="15.75" customHeight="1" s="17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</row>
    <row r="817" ht="15.75" customHeight="1" s="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</row>
    <row r="818" ht="15.75" customHeight="1" s="17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</row>
    <row r="819" ht="15.75" customHeight="1" s="17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</row>
    <row r="820" ht="15.75" customHeight="1" s="17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</row>
    <row r="821" ht="15.75" customHeight="1" s="17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</row>
    <row r="822" ht="15.75" customHeight="1" s="17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</row>
    <row r="823" ht="15.75" customHeight="1" s="17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</row>
    <row r="824" ht="15.75" customHeight="1" s="17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</row>
    <row r="825" ht="15.75" customHeight="1" s="17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</row>
    <row r="826" ht="15.75" customHeight="1" s="17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</row>
    <row r="827" ht="15.75" customHeight="1" s="1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</row>
    <row r="828" ht="15.75" customHeight="1" s="17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</row>
    <row r="829" ht="15.75" customHeight="1" s="17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</row>
    <row r="830" ht="15.75" customHeight="1" s="17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</row>
    <row r="831" ht="15.75" customHeight="1" s="17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</row>
    <row r="832" ht="15.75" customHeight="1" s="17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</row>
    <row r="833" ht="15.75" customHeight="1" s="17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</row>
    <row r="834" ht="15.75" customHeight="1" s="17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</row>
    <row r="835" ht="15.75" customHeight="1" s="17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</row>
    <row r="836" ht="15.75" customHeight="1" s="17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</row>
    <row r="837" ht="15.75" customHeight="1" s="1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</row>
    <row r="838" ht="15.75" customHeight="1" s="17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</row>
    <row r="839" ht="15.75" customHeight="1" s="17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</row>
    <row r="840" ht="15.75" customHeight="1" s="17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</row>
    <row r="841" ht="15.75" customHeight="1" s="17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</row>
    <row r="842" ht="15.75" customHeight="1" s="17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</row>
    <row r="843" ht="15.75" customHeight="1" s="17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</row>
    <row r="844" ht="15.75" customHeight="1" s="17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</row>
    <row r="845" ht="15.75" customHeight="1" s="17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</row>
    <row r="846" ht="15.75" customHeight="1" s="17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</row>
    <row r="847" ht="15.75" customHeight="1" s="1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</row>
    <row r="848" ht="15.75" customHeight="1" s="17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</row>
    <row r="849" ht="15.75" customHeight="1" s="17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</row>
    <row r="850" ht="15.75" customHeight="1" s="17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</row>
    <row r="851" ht="15.75" customHeight="1" s="17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</row>
    <row r="852" ht="15.75" customHeight="1" s="17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</row>
    <row r="853" ht="15.75" customHeight="1" s="17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</row>
    <row r="854" ht="15.75" customHeight="1" s="17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</row>
    <row r="855" ht="15.75" customHeight="1" s="17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</row>
    <row r="856" ht="15.75" customHeight="1" s="17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</row>
    <row r="857" ht="15.75" customHeight="1" s="1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</row>
    <row r="858" ht="15.75" customHeight="1" s="17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</row>
    <row r="859" ht="15.75" customHeight="1" s="17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</row>
    <row r="860" ht="15.75" customHeight="1" s="17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</row>
    <row r="861" ht="15.75" customHeight="1" s="17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</row>
    <row r="862" ht="15.75" customHeight="1" s="17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</row>
    <row r="863" ht="15.75" customHeight="1" s="17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</row>
    <row r="864" ht="15.75" customHeight="1" s="17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</row>
    <row r="865" ht="15.75" customHeight="1" s="17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</row>
    <row r="866" ht="15.75" customHeight="1" s="17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</row>
    <row r="867" ht="15.75" customHeight="1" s="1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</row>
    <row r="868" ht="15.75" customHeight="1" s="17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</row>
    <row r="869" ht="15.75" customHeight="1" s="17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</row>
    <row r="870" ht="15.75" customHeight="1" s="17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</row>
    <row r="871" ht="15.75" customHeight="1" s="17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</row>
    <row r="872" ht="15.75" customHeight="1" s="17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</row>
    <row r="873" ht="15.75" customHeight="1" s="17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</row>
    <row r="874" ht="15.75" customHeight="1" s="17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</row>
    <row r="875" ht="15.75" customHeight="1" s="17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</row>
    <row r="876" ht="15.75" customHeight="1" s="17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</row>
    <row r="877" ht="15.75" customHeight="1" s="1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</row>
    <row r="878" ht="15.75" customHeight="1" s="17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</row>
    <row r="879" ht="15.75" customHeight="1" s="17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</row>
    <row r="880" ht="15.75" customHeight="1" s="17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</row>
    <row r="881" ht="15.75" customHeight="1" s="17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</row>
    <row r="882" ht="15.75" customHeight="1" s="17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</row>
    <row r="883" ht="15.75" customHeight="1" s="17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</row>
    <row r="884" ht="15.75" customHeight="1" s="17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</row>
    <row r="885" ht="15.75" customHeight="1" s="17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</row>
    <row r="886" ht="15.75" customHeight="1" s="17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</row>
    <row r="887" ht="15.75" customHeight="1" s="1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</row>
    <row r="888" ht="15.75" customHeight="1" s="17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</row>
    <row r="889" ht="15.75" customHeight="1" s="17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</row>
    <row r="890" ht="15.75" customHeight="1" s="17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</row>
    <row r="891" ht="15.75" customHeight="1" s="17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</row>
    <row r="892" ht="15.75" customHeight="1" s="17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</row>
    <row r="893" ht="15.75" customHeight="1" s="17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</row>
    <row r="894" ht="15.75" customHeight="1" s="17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</row>
    <row r="895" ht="15.75" customHeight="1" s="17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</row>
    <row r="896" ht="15.75" customHeight="1" s="17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</row>
    <row r="897" ht="15.75" customHeight="1" s="1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</row>
    <row r="898" ht="15.75" customHeight="1" s="17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</row>
    <row r="899" ht="15.75" customHeight="1" s="17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</row>
    <row r="900" ht="15.75" customHeight="1" s="17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</row>
    <row r="901" ht="15.75" customHeight="1" s="17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</row>
    <row r="902" ht="15.75" customHeight="1" s="17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</row>
    <row r="903" ht="15.75" customHeight="1" s="17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</row>
    <row r="904" ht="15.75" customHeight="1" s="17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</row>
    <row r="905" ht="15.75" customHeight="1" s="17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</row>
    <row r="906" ht="15.75" customHeight="1" s="17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</row>
    <row r="907" ht="15.75" customHeight="1" s="1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</row>
    <row r="908" ht="15.75" customHeight="1" s="17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</row>
    <row r="909" ht="15.75" customHeight="1" s="17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</row>
    <row r="910" ht="15.75" customHeight="1" s="17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</row>
    <row r="911" ht="15.75" customHeight="1" s="17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</row>
    <row r="912" ht="15.75" customHeight="1" s="17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</row>
    <row r="913" ht="15.75" customHeight="1" s="17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</row>
    <row r="914" ht="15.75" customHeight="1" s="17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</row>
    <row r="915" ht="15.75" customHeight="1" s="17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</row>
    <row r="916" ht="15.75" customHeight="1" s="17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</row>
    <row r="917" ht="15.75" customHeight="1" s="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</row>
    <row r="918" ht="15.75" customHeight="1" s="17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</row>
    <row r="919" ht="15.75" customHeight="1" s="17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</row>
    <row r="920" ht="15.75" customHeight="1" s="17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</row>
    <row r="921" ht="15.75" customHeight="1" s="17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</row>
    <row r="922" ht="15.75" customHeight="1" s="17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</row>
    <row r="923" ht="15.75" customHeight="1" s="17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</row>
    <row r="924" ht="15.75" customHeight="1" s="17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</row>
    <row r="925" ht="15.75" customHeight="1" s="17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</row>
    <row r="926" ht="15.75" customHeight="1" s="17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</row>
    <row r="927" ht="15.75" customHeight="1" s="1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</row>
    <row r="928" ht="15.75" customHeight="1" s="17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</row>
    <row r="929" ht="15.75" customHeight="1" s="17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</row>
    <row r="930" ht="15.75" customHeight="1" s="17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</row>
    <row r="931" ht="15.75" customHeight="1" s="17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</row>
    <row r="932" ht="15.75" customHeight="1" s="17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</row>
    <row r="933" ht="15.75" customHeight="1" s="17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</row>
    <row r="934" ht="15.75" customHeight="1" s="17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</row>
    <row r="935" ht="15.75" customHeight="1" s="17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</row>
    <row r="936" ht="15.75" customHeight="1" s="17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</row>
    <row r="937" ht="15.75" customHeight="1" s="1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</row>
    <row r="938" ht="15.75" customHeight="1" s="17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</row>
    <row r="939" ht="15.75" customHeight="1" s="17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</row>
    <row r="940" ht="15.75" customHeight="1" s="17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</row>
    <row r="941" ht="15.75" customHeight="1" s="17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</row>
    <row r="942" ht="15.75" customHeight="1" s="17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</row>
    <row r="943" ht="15.75" customHeight="1" s="17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</row>
    <row r="944" ht="15.75" customHeight="1" s="17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</row>
    <row r="945" ht="15.75" customHeight="1" s="17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</row>
    <row r="946" ht="15.75" customHeight="1" s="17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</row>
    <row r="947" ht="15.75" customHeight="1" s="1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</row>
    <row r="948" ht="15.75" customHeight="1" s="17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</row>
    <row r="949" ht="15.75" customHeight="1" s="17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</row>
    <row r="950" ht="15.75" customHeight="1" s="17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</row>
    <row r="951" ht="15.75" customHeight="1" s="17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</row>
    <row r="952" ht="15.75" customHeight="1" s="17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</row>
    <row r="953" ht="15.75" customHeight="1" s="17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</row>
    <row r="954" ht="15.75" customHeight="1" s="17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</row>
    <row r="955" ht="15.75" customHeight="1" s="17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</row>
    <row r="956" ht="15.75" customHeight="1" s="17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</row>
    <row r="957" ht="15.75" customHeight="1" s="1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</row>
    <row r="958" ht="15.75" customHeight="1" s="17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</row>
    <row r="959" ht="15.75" customHeight="1" s="17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</row>
    <row r="960" ht="15.75" customHeight="1" s="17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</row>
    <row r="961" ht="15.75" customHeight="1" s="17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</row>
    <row r="962" ht="15.75" customHeight="1" s="17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</row>
    <row r="963" ht="15.75" customHeight="1" s="17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</row>
    <row r="964" ht="15.75" customHeight="1" s="17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</row>
    <row r="965" ht="15.75" customHeight="1" s="17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</row>
    <row r="966" ht="15.75" customHeight="1" s="17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</row>
    <row r="967" ht="15.75" customHeight="1" s="1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</row>
    <row r="968" ht="15.75" customHeight="1" s="17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</row>
    <row r="969" ht="15.75" customHeight="1" s="17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</row>
    <row r="970" ht="15.75" customHeight="1" s="17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</row>
    <row r="971" ht="15.75" customHeight="1" s="17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</row>
    <row r="972" ht="15.75" customHeight="1" s="17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</row>
    <row r="973" ht="15.75" customHeight="1" s="17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</row>
    <row r="974" ht="15.75" customHeight="1" s="17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</row>
    <row r="975" ht="15.75" customHeight="1" s="17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</row>
    <row r="976" ht="15.75" customHeight="1" s="17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</row>
    <row r="977" ht="15.75" customHeight="1" s="1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</row>
    <row r="978" ht="15.75" customHeight="1" s="17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</row>
    <row r="979" ht="15.75" customHeight="1" s="17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</row>
    <row r="980" ht="15.75" customHeight="1" s="17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</row>
    <row r="981" ht="15.75" customHeight="1" s="17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</row>
    <row r="982" ht="15.75" customHeight="1" s="17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</row>
    <row r="983" ht="15.75" customHeight="1" s="17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</row>
    <row r="984" ht="15.75" customHeight="1" s="17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</row>
    <row r="985" ht="15.75" customHeight="1" s="17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</row>
    <row r="986" ht="15.75" customHeight="1" s="17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</row>
    <row r="987" ht="15.75" customHeight="1" s="1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</row>
    <row r="988" ht="15.75" customHeight="1" s="17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</row>
    <row r="989" ht="15.75" customHeight="1" s="17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</row>
    <row r="990" ht="15.75" customHeight="1" s="17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</row>
    <row r="991" ht="15.75" customHeight="1" s="17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</row>
    <row r="992" ht="15.75" customHeight="1" s="17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</row>
    <row r="993" ht="15.75" customHeight="1" s="17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</row>
    <row r="994" ht="15.75" customHeight="1" s="17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</row>
    <row r="995" ht="15.75" customHeight="1" s="17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</row>
    <row r="996" ht="15.75" customHeight="1" s="17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</row>
    <row r="997" ht="15.75" customHeight="1" s="1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</row>
    <row r="998" ht="15.75" customHeight="1" s="17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</row>
    <row r="999" ht="15.75" customHeight="1" s="17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</row>
    <row r="1000" ht="15.75" customHeight="1" s="17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17" min="1" max="1"/>
    <col width="40" customWidth="1" style="17" min="2" max="2"/>
    <col width="32" customWidth="1" style="17" min="3" max="3"/>
    <col width="6" customWidth="1" style="17" min="4" max="4"/>
    <col width="32" customWidth="1" style="17" min="5" max="5"/>
    <col width="85" customWidth="1" style="17" min="6" max="6"/>
    <col width="18" customWidth="1" style="17" min="7" max="7"/>
    <col width="55" customWidth="1" style="17" min="8" max="8"/>
    <col width="40" customWidth="1" style="17" min="9" max="9"/>
    <col width="38" customWidth="1" style="17" min="10" max="10"/>
    <col width="18" customWidth="1" style="17" min="11" max="11"/>
    <col width="32" customWidth="1" style="17" min="12" max="12"/>
    <col width="8.710000000000001" customWidth="1" style="17" min="13" max="26"/>
  </cols>
  <sheetData>
    <row r="1">
      <c r="A1" s="12" t="inlineStr">
        <is>
          <t>ID_темы</t>
        </is>
      </c>
      <c r="B1" s="12" t="inlineStr">
        <is>
          <t>Заголовок статьи</t>
        </is>
      </c>
      <c r="C1" s="12" t="inlineStr">
        <is>
          <t>Slug статьи</t>
        </is>
      </c>
      <c r="D1" s="12" t="inlineStr">
        <is>
          <t>№</t>
        </is>
      </c>
      <c r="E1" s="12" t="inlineStr">
        <is>
          <t>Роль / место</t>
        </is>
      </c>
      <c r="F1" s="12" t="inlineStr">
        <is>
          <t>Подробный промпт для ИИ</t>
        </is>
      </c>
      <c r="G1" s="12" t="inlineStr">
        <is>
          <t>Формат</t>
        </is>
      </c>
      <c r="H1" s="12" t="inlineStr">
        <is>
          <t>Alt-текст</t>
        </is>
      </c>
      <c r="I1" s="12" t="inlineStr">
        <is>
          <t>Подпись</t>
        </is>
      </c>
      <c r="J1" s="12" t="inlineStr">
        <is>
          <t>SEO/GEO-цель</t>
        </is>
      </c>
      <c r="K1" s="12" t="inlineStr">
        <is>
          <t>Статус</t>
        </is>
      </c>
      <c r="L1" s="12" t="inlineStr">
        <is>
          <t>Имя файла</t>
        </is>
      </c>
    </row>
    <row r="2" ht="109.5" customHeight="1" s="17">
      <c r="A2" s="16" t="n">
        <v>10</v>
      </c>
      <c r="B2" s="16" t="inlineStr">
        <is>
          <t>Как паять паяльником: руководство для начинающих</t>
        </is>
      </c>
      <c r="C2" s="16" t="inlineStr">
        <is>
          <t>kak-payat-payalnikom-dlya-nachinayuschih</t>
        </is>
      </c>
      <c r="D2" s="16" t="n">
        <v>1</v>
      </c>
      <c r="E2" s="16" t="inlineStr">
        <is>
          <t>Обложка после H1</t>
        </is>
      </c>
      <c r="F2" s="16" t="inlineStr">
        <is>
          <t>Реалистичная предметная фотография: руки взрослого мастера в защитных очках паяют тонкий медный провод к контактной площадке учебной платы. Паяльник с чистым тонким жалом, небольшая катушка припоя, нейтральный флюс, светлый верстак, хорошее освещение. Макро, резкий фокус на жале и соединении, без текста, логотипов, лишних пальцев, безопасная поза.</t>
        </is>
      </c>
      <c r="G2" s="16" t="inlineStr">
        <is>
          <t>16:9, 1600×900</t>
        </is>
      </c>
      <c r="H2" s="16" t="inlineStr">
        <is>
          <t>Новичок паяет провод паяльником с регулируемой температурой</t>
        </is>
      </c>
      <c r="I2" s="16" t="inlineStr">
        <is>
          <t>Пайка провода: жало прогревает площадку и вывод</t>
        </is>
      </c>
      <c r="J2" s="16" t="inlineStr">
        <is>
          <t>Главный интент, Open Graph</t>
        </is>
      </c>
      <c r="K2" s="16" t="inlineStr">
        <is>
          <t>к генерации</t>
        </is>
      </c>
      <c r="L2" s="16" t="inlineStr">
        <is>
          <t>kak-payat-oblozhka.webp</t>
        </is>
      </c>
    </row>
    <row r="3" ht="109.5" customHeight="1" s="17">
      <c r="A3" s="16" t="n">
        <v>10</v>
      </c>
      <c r="B3" s="16" t="inlineStr">
        <is>
          <t>Как паять паяльником: руководство для начинающих</t>
        </is>
      </c>
      <c r="C3" s="16" t="inlineStr">
        <is>
          <t>kak-payat-payalnikom-dlya-nachinayuschih</t>
        </is>
      </c>
      <c r="D3" s="16" t="n">
        <v>2</v>
      </c>
      <c r="E3" s="16" t="inlineStr">
        <is>
          <t>После раздела «Как паять шаг за шагом»</t>
        </is>
      </c>
      <c r="F3" s="16" t="inlineStr">
        <is>
          <t>Чистая техническая изометрическая инфографика из 4 кадров на светлом фоне: 1) чистое залуженное жало касается одновременно медной площадки и вывода; 2) припой подаётся с противоположной стороны; 3) убирают припой; 4) готовый гладкий блестящий спай. Реалистичные детали платы, точная физика пайки, без брендов и длинного текста.</t>
        </is>
      </c>
      <c r="G3" s="16" t="inlineStr">
        <is>
          <t>16:9, 1600×900</t>
        </is>
      </c>
      <c r="H3" s="16" t="inlineStr">
        <is>
          <t>Порядок пайки: жало греет площадку и вывод, припой подаётся в контакт</t>
        </is>
      </c>
      <c r="I3" s="16" t="inlineStr">
        <is>
          <t>Четыре шага правильной пайки</t>
        </is>
      </c>
      <c r="J3" s="16" t="inlineStr">
        <is>
          <t>Делает инструкцию наглядной</t>
        </is>
      </c>
      <c r="K3" s="16" t="inlineStr">
        <is>
          <t>к генерации</t>
        </is>
      </c>
      <c r="L3" s="16" t="inlineStr">
        <is>
          <t>kak-payat-4-shaga.webp</t>
        </is>
      </c>
    </row>
    <row r="4" ht="109.5" customHeight="1" s="17">
      <c r="A4" s="16" t="n">
        <v>10</v>
      </c>
      <c r="B4" s="16" t="inlineStr">
        <is>
          <t>Как паять паяльником: руководство для начинающих</t>
        </is>
      </c>
      <c r="C4" s="16" t="inlineStr">
        <is>
          <t>kak-payat-payalnikom-dlya-nachinayuschih</t>
        </is>
      </c>
      <c r="D4" s="16" t="n">
        <v>3</v>
      </c>
      <c r="E4" s="16" t="inlineStr">
        <is>
          <t>В разделе «Типичные ошибки»</t>
        </is>
      </c>
      <c r="F4" s="16" t="inlineStr">
        <is>
          <t>Макрофотография-сравнение, кадр разделён вертикально: слева правильный блестящий ровный припой на выводе и площадке, справа холодная пайка — матовая, зернистая, с кольцом у вывода. Одинаковый масштаб, нейтральный фон, без логотипов и текста.</t>
        </is>
      </c>
      <c r="G4" s="16" t="inlineStr">
        <is>
          <t>16:9, 1600×900</t>
        </is>
      </c>
      <c r="H4" s="16" t="inlineStr">
        <is>
          <t>Сравнение правильного блестящего спая и матового холодного спая</t>
        </is>
      </c>
      <c r="I4" s="16" t="inlineStr">
        <is>
          <t>Как отличить холодную пайку</t>
        </is>
      </c>
      <c r="J4" s="16" t="inlineStr">
        <is>
          <t>E-E-A-T и диагностика дефекта</t>
        </is>
      </c>
      <c r="K4" s="16" t="inlineStr">
        <is>
          <t>к генерации</t>
        </is>
      </c>
      <c r="L4" s="16" t="inlineStr">
        <is>
          <t>kak-payat-holodnaya-pajka.webp</t>
        </is>
      </c>
    </row>
    <row r="5" ht="109.5" customHeight="1" s="17">
      <c r="A5" s="16" t="n">
        <v>11</v>
      </c>
      <c r="B5" s="16" t="inlineStr">
        <is>
          <t>Онлайн-инструменты для пайки</t>
        </is>
      </c>
      <c r="C5" s="16" t="inlineStr">
        <is>
          <t>instrumenty</t>
        </is>
      </c>
      <c r="D5" s="16" t="n">
        <v>1</v>
      </c>
      <c r="E5" s="16" t="inlineStr">
        <is>
          <t>Обложка после H1</t>
        </is>
      </c>
      <c r="F5" s="16" t="inlineStr">
        <is>
          <t>Чистая реалистичная фотография современного домашнего рабочего места радиолюбителя: компактная паяльная станция, припой, флюс в шприце, мультиметр и ноутбук с нейтральным интерфейсом калькулятора температуры. Тёплый свет, порядок на столе, без читаемого бренда, текста и логотипов, без людей.</t>
        </is>
      </c>
      <c r="G5" s="16" t="inlineStr">
        <is>
          <t>16:9, 1600×900</t>
        </is>
      </c>
      <c r="H5" s="16" t="inlineStr">
        <is>
          <t>Рабочее место для пайки с паяльной станцией, флюсом и онлайн-инструментами на ноутбуке</t>
        </is>
      </c>
      <c r="I5" s="16" t="inlineStr">
        <is>
          <t>Онлайн-инструменты для пайки</t>
        </is>
      </c>
      <c r="J5" s="16" t="inlineStr">
        <is>
          <t>Хаб-страница, Open Graph</t>
        </is>
      </c>
      <c r="K5" s="16" t="inlineStr">
        <is>
          <t>к генерации</t>
        </is>
      </c>
      <c r="L5" s="16" t="inlineStr">
        <is>
          <t>instrumenty-pajki-oblozhka.webp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15.75" customHeight="1" s="17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 ht="15.75" customHeight="1" s="17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15.75" customHeight="1" s="17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 ht="15.75" customHeight="1" s="17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 ht="15.75" customHeight="1" s="17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 ht="15.75" customHeight="1" s="17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15.75" customHeight="1" s="1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 ht="15.75" customHeight="1" s="17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 ht="15.75" customHeight="1" s="17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 ht="15.75" customHeight="1" s="17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 ht="15.75" customHeight="1" s="17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15.75" customHeight="1" s="17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15.75" customHeight="1" s="17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15.75" customHeight="1" s="17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 ht="15.75" customHeight="1" s="17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15.75" customHeight="1" s="17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5.75" customHeight="1" s="1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15.75" customHeight="1" s="17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 ht="15.75" customHeight="1" s="17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15.75" customHeight="1" s="17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5.75" customHeight="1" s="17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15.75" customHeight="1" s="17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5.75" customHeight="1" s="17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5.75" customHeight="1" s="17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5.75" customHeight="1" s="17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15.75" customHeight="1" s="17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 ht="15.75" customHeight="1" s="1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15.75" customHeight="1" s="17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 ht="15.75" customHeight="1" s="17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15.75" customHeight="1" s="17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 ht="15.75" customHeight="1" s="17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5.75" customHeight="1" s="17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15.75" customHeight="1" s="17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15.75" customHeight="1" s="17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5.75" customHeight="1" s="17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15.75" customHeight="1" s="17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 ht="15.75" customHeight="1" s="1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15.75" customHeight="1" s="17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5.75" customHeight="1" s="17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15.75" customHeight="1" s="17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 ht="15.75" customHeight="1" s="17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5.75" customHeight="1" s="17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 ht="15.75" customHeight="1" s="17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15.75" customHeight="1" s="17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 ht="15.75" customHeight="1" s="17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15.75" customHeight="1" s="17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 ht="15.75" customHeight="1" s="1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15.75" customHeight="1" s="17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 ht="15.75" customHeight="1" s="17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5.75" customHeight="1" s="17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 ht="15.75" customHeight="1" s="17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15.75" customHeight="1" s="17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5.75" customHeight="1" s="17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15.75" customHeight="1" s="17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5.75" customHeight="1" s="17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15.75" customHeight="1" s="17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 ht="15.75" customHeight="1" s="1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15.75" customHeight="1" s="17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 ht="15.75" customHeight="1" s="17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15.75" customHeight="1" s="17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 ht="15.75" customHeight="1" s="17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 ht="15.75" customHeight="1" s="17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5.75" customHeight="1" s="17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 ht="15.75" customHeight="1" s="17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 ht="15.75" customHeight="1" s="17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5.75" customHeight="1" s="17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 ht="15.75" customHeight="1" s="1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 ht="15.75" customHeight="1" s="17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 ht="15.75" customHeight="1" s="17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 ht="15.75" customHeight="1" s="17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 ht="15.75" customHeight="1" s="17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 ht="15.75" customHeight="1" s="17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 ht="15.75" customHeight="1" s="17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15.75" customHeight="1" s="17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 ht="15.75" customHeight="1" s="17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 ht="15.75" customHeight="1" s="17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 ht="15.75" customHeight="1" s="1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5.75" customHeight="1" s="17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 ht="15.75" customHeight="1" s="17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15.75" customHeight="1" s="17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 ht="15.75" customHeight="1" s="17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15.75" customHeight="1" s="17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 ht="15.75" customHeight="1" s="17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 ht="15.75" customHeight="1" s="17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 ht="15.75" customHeight="1" s="17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 ht="15.75" customHeight="1" s="17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 ht="15.75" customHeight="1" s="1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 ht="15.75" customHeight="1" s="17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 ht="15.75" customHeight="1" s="17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 ht="15.75" customHeight="1" s="17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5.75" customHeight="1" s="17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 ht="15.75" customHeight="1" s="17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5.75" customHeight="1" s="17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15.75" customHeight="1" s="17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 ht="15.75" customHeight="1" s="17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 ht="15.75" customHeight="1" s="17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 ht="15.75" customHeight="1" s="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15.75" customHeight="1" s="17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5.75" customHeight="1" s="17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 ht="15.75" customHeight="1" s="17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 ht="15.75" customHeight="1" s="17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 ht="15.75" customHeight="1" s="17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 ht="15.75" customHeight="1" s="17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 ht="15.75" customHeight="1" s="17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 ht="15.75" customHeight="1" s="17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5.75" customHeight="1" s="17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 ht="15.75" customHeight="1" s="1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 ht="15.75" customHeight="1" s="17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5.75" customHeight="1" s="17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 ht="15.75" customHeight="1" s="17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 ht="15.75" customHeight="1" s="17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15.75" customHeight="1" s="17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 ht="15.75" customHeight="1" s="17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 ht="15.75" customHeight="1" s="17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 ht="15.75" customHeight="1" s="17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 ht="15.75" customHeight="1" s="17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5.75" customHeight="1" s="1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 ht="15.75" customHeight="1" s="17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 ht="15.75" customHeight="1" s="17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15.75" customHeight="1" s="17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 ht="15.75" customHeight="1" s="17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 ht="15.75" customHeight="1" s="17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 ht="15.75" customHeight="1" s="17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15.75" customHeight="1" s="17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 ht="15.75" customHeight="1" s="17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 ht="15.75" customHeight="1" s="17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 ht="15.75" customHeight="1" s="1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 ht="15.75" customHeight="1" s="17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 ht="15.75" customHeight="1" s="17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 ht="15.75" customHeight="1" s="17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 ht="15.75" customHeight="1" s="17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 ht="15.75" customHeight="1" s="17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5.75" customHeight="1" s="17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 ht="15.75" customHeight="1" s="17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 ht="15.75" customHeight="1" s="17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 ht="15.75" customHeight="1" s="17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 ht="15.75" customHeight="1" s="1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 ht="15.75" customHeight="1" s="17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 ht="15.75" customHeight="1" s="17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15.75" customHeight="1" s="17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 ht="15.75" customHeight="1" s="17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 ht="15.75" customHeight="1" s="17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 ht="15.75" customHeight="1" s="17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 ht="15.75" customHeight="1" s="17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 ht="15.75" customHeight="1" s="17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15.75" customHeight="1" s="17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 ht="15.75" customHeight="1" s="1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 ht="15.75" customHeight="1" s="17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 ht="15.75" customHeight="1" s="17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 ht="15.75" customHeight="1" s="17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 ht="15.75" customHeight="1" s="17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 ht="15.75" customHeight="1" s="17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 ht="15.75" customHeight="1" s="17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 ht="15.75" customHeight="1" s="17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5.75" customHeight="1" s="17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 ht="15.75" customHeight="1" s="17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 ht="15.75" customHeight="1" s="1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 ht="15.75" customHeight="1" s="17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 ht="15.75" customHeight="1" s="17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15.75" customHeight="1" s="17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 ht="15.75" customHeight="1" s="17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 ht="15.75" customHeight="1" s="17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 ht="15.75" customHeight="1" s="17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 ht="15.75" customHeight="1" s="17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 ht="15.75" customHeight="1" s="17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 ht="15.75" customHeight="1" s="17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 ht="15.75" customHeight="1" s="1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 ht="15.75" customHeight="1" s="17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 ht="15.75" customHeight="1" s="17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15.75" customHeight="1" s="17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 ht="15.75" customHeight="1" s="17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 ht="15.75" customHeight="1" s="17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5.75" customHeight="1" s="17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 ht="15.75" customHeight="1" s="17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 ht="15.75" customHeight="1" s="17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 ht="15.75" customHeight="1" s="17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 ht="15.75" customHeight="1" s="1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 ht="15.75" customHeight="1" s="17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 ht="15.75" customHeight="1" s="17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 ht="15.75" customHeight="1" s="17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 ht="15.75" customHeight="1" s="17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 ht="15.75" customHeight="1" s="17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 ht="15.75" customHeight="1" s="17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 ht="15.75" customHeight="1" s="17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 ht="15.75" customHeight="1" s="17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5.75" customHeight="1" s="17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 ht="15.75" customHeight="1" s="1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 ht="15.75" customHeight="1" s="17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 ht="15.75" customHeight="1" s="17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 ht="15.75" customHeight="1" s="17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 ht="15.75" customHeight="1" s="17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 ht="15.75" customHeight="1" s="17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 ht="15.75" customHeight="1" s="17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 ht="15.75" customHeight="1" s="17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 ht="15.75" customHeight="1" s="17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 ht="15.75" customHeight="1" s="17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 ht="15.75" customHeight="1" s="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 ht="15.75" customHeight="1" s="17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 ht="15.75" customHeight="1" s="17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15.75" customHeight="1" s="17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5.75" customHeight="1" s="17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 ht="15.75" customHeight="1" s="17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 ht="15.75" customHeight="1" s="17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 ht="15.75" customHeight="1" s="17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 ht="15.75" customHeight="1" s="17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 ht="15.75" customHeight="1" s="17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 ht="15.75" customHeight="1" s="1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 ht="15.75" customHeight="1" s="17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 ht="15.75" customHeight="1" s="17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 ht="15.75" customHeight="1" s="17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 ht="15.75" customHeight="1" s="17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 ht="15.75" customHeight="1" s="17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15.75" customHeight="1" s="17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 ht="15.75" customHeight="1" s="17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 ht="15.75" customHeight="1" s="17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 ht="15.75" customHeight="1" s="17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 ht="15.75" customHeight="1" s="1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</row>
    <row r="238" ht="15.75" customHeight="1" s="17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 ht="15.75" customHeight="1" s="17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</row>
    <row r="240" ht="15.75" customHeight="1" s="17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 ht="15.75" customHeight="1" s="17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</row>
    <row r="242" ht="15.75" customHeight="1" s="17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 ht="15.75" customHeight="1" s="17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</row>
    <row r="244" ht="15.75" customHeight="1" s="17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 ht="15.75" customHeight="1" s="17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 ht="15.75" customHeight="1" s="17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</row>
    <row r="247" ht="15.75" customHeight="1" s="1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</row>
    <row r="248" ht="15.75" customHeight="1" s="17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 ht="15.75" customHeight="1" s="17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</row>
    <row r="250" ht="15.75" customHeight="1" s="17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 ht="15.75" customHeight="1" s="17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 ht="15.75" customHeight="1" s="17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</row>
    <row r="253" ht="15.75" customHeight="1" s="17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</row>
    <row r="254" ht="15.75" customHeight="1" s="17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</row>
    <row r="255" ht="15.75" customHeight="1" s="17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</row>
    <row r="256" ht="15.75" customHeight="1" s="17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</row>
    <row r="257" ht="15.75" customHeight="1" s="1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</row>
    <row r="258" ht="15.75" customHeight="1" s="17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</row>
    <row r="259" ht="15.75" customHeight="1" s="17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 ht="15.75" customHeight="1" s="17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</row>
    <row r="261" ht="15.75" customHeight="1" s="17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</row>
    <row r="262" ht="15.75" customHeight="1" s="17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</row>
    <row r="263" ht="15.75" customHeight="1" s="17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</row>
    <row r="264" ht="15.75" customHeight="1" s="17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</row>
    <row r="265" ht="15.75" customHeight="1" s="17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</row>
    <row r="266" ht="15.75" customHeight="1" s="17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 ht="15.75" customHeight="1" s="1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</row>
    <row r="268" ht="15.75" customHeight="1" s="17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</row>
    <row r="269" ht="15.75" customHeight="1" s="17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</row>
    <row r="270" ht="15.75" customHeight="1" s="17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</row>
    <row r="271" ht="15.75" customHeight="1" s="17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</row>
    <row r="272" ht="15.75" customHeight="1" s="17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 ht="15.75" customHeight="1" s="17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</row>
    <row r="274" ht="15.75" customHeight="1" s="17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</row>
    <row r="275" ht="15.75" customHeight="1" s="17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</row>
    <row r="276" ht="15.75" customHeight="1" s="17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</row>
    <row r="277" ht="15.75" customHeight="1" s="1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</row>
    <row r="278" ht="15.75" customHeight="1" s="17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</row>
    <row r="279" ht="15.75" customHeight="1" s="17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</row>
    <row r="280" ht="15.75" customHeight="1" s="17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</row>
    <row r="281" ht="15.75" customHeight="1" s="17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 ht="15.75" customHeight="1" s="17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</row>
    <row r="283" ht="15.75" customHeight="1" s="17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</row>
    <row r="284" ht="15.75" customHeight="1" s="17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</row>
    <row r="285" ht="15.75" customHeight="1" s="17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 ht="15.75" customHeight="1" s="17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</row>
    <row r="287" ht="15.75" customHeight="1" s="1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</row>
    <row r="288" ht="15.75" customHeight="1" s="17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</row>
    <row r="289" ht="15.75" customHeight="1" s="17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</row>
    <row r="290" ht="15.75" customHeight="1" s="17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</row>
    <row r="291" ht="15.75" customHeight="1" s="17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</row>
    <row r="292" ht="15.75" customHeight="1" s="17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</row>
    <row r="293" ht="15.75" customHeight="1" s="17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</row>
    <row r="294" ht="15.75" customHeight="1" s="17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</row>
    <row r="295" ht="15.75" customHeight="1" s="17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</row>
    <row r="296" ht="15.75" customHeight="1" s="17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</row>
    <row r="297" ht="15.75" customHeight="1" s="1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 ht="15.75" customHeight="1" s="17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</row>
    <row r="299" ht="15.75" customHeight="1" s="17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 ht="15.75" customHeight="1" s="17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</row>
    <row r="301" ht="15.75" customHeight="1" s="17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</row>
    <row r="302" ht="15.75" customHeight="1" s="17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</row>
    <row r="303" ht="15.75" customHeight="1" s="17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</row>
    <row r="304" ht="15.75" customHeight="1" s="17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</row>
    <row r="305" ht="15.75" customHeight="1" s="17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</row>
    <row r="306" ht="15.75" customHeight="1" s="17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</row>
    <row r="307" ht="15.75" customHeight="1" s="1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</row>
    <row r="308" ht="15.75" customHeight="1" s="17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</row>
    <row r="309" ht="15.75" customHeight="1" s="17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</row>
    <row r="310" ht="15.75" customHeight="1" s="17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</row>
    <row r="311" ht="15.75" customHeight="1" s="17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</row>
    <row r="312" ht="15.75" customHeight="1" s="17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15.75" customHeight="1" s="17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</row>
    <row r="314" ht="15.75" customHeight="1" s="17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</row>
    <row r="315" ht="15.75" customHeight="1" s="17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</row>
    <row r="316" ht="15.75" customHeight="1" s="17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</row>
    <row r="317" ht="15.75" customHeight="1" s="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</row>
    <row r="318" ht="15.75" customHeight="1" s="17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</row>
    <row r="319" ht="15.75" customHeight="1" s="17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</row>
    <row r="320" ht="15.75" customHeight="1" s="17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</row>
    <row r="321" ht="15.75" customHeight="1" s="17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</row>
    <row r="322" ht="15.75" customHeight="1" s="17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</row>
    <row r="323" ht="15.75" customHeight="1" s="17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</row>
    <row r="324" ht="15.75" customHeight="1" s="17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</row>
    <row r="325" ht="15.75" customHeight="1" s="17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 ht="15.75" customHeight="1" s="17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</row>
    <row r="327" ht="15.75" customHeight="1" s="1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 ht="15.75" customHeight="1" s="17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</row>
    <row r="329" ht="15.75" customHeight="1" s="17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</row>
    <row r="330" ht="15.75" customHeight="1" s="17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</row>
    <row r="331" ht="15.75" customHeight="1" s="17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</row>
    <row r="332" ht="15.75" customHeight="1" s="17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</row>
    <row r="333" ht="15.75" customHeight="1" s="17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</row>
    <row r="334" ht="15.75" customHeight="1" s="17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</row>
    <row r="335" ht="15.75" customHeight="1" s="17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</row>
    <row r="336" ht="15.75" customHeight="1" s="17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</row>
    <row r="337" ht="15.75" customHeight="1" s="1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</row>
    <row r="338" ht="15.75" customHeight="1" s="17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</row>
    <row r="339" ht="15.75" customHeight="1" s="17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 ht="15.75" customHeight="1" s="17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</row>
    <row r="341" ht="15.75" customHeight="1" s="17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</row>
    <row r="342" ht="15.75" customHeight="1" s="17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</row>
    <row r="343" ht="15.75" customHeight="1" s="17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</row>
    <row r="344" ht="15.75" customHeight="1" s="17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</row>
    <row r="345" ht="15.75" customHeight="1" s="17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</row>
    <row r="346" ht="15.75" customHeight="1" s="17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</row>
    <row r="347" ht="15.75" customHeight="1" s="1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</row>
    <row r="348" ht="15.75" customHeight="1" s="17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</row>
    <row r="349" ht="15.75" customHeight="1" s="17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</row>
    <row r="350" ht="15.75" customHeight="1" s="17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</row>
    <row r="351" ht="15.75" customHeight="1" s="17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</row>
    <row r="352" ht="15.75" customHeight="1" s="17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 ht="15.75" customHeight="1" s="17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</row>
    <row r="354" ht="15.75" customHeight="1" s="17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</row>
    <row r="355" ht="15.75" customHeight="1" s="17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</row>
    <row r="356" ht="15.75" customHeight="1" s="17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</row>
    <row r="357" ht="15.75" customHeight="1" s="1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</row>
    <row r="358" ht="15.75" customHeight="1" s="17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 ht="15.75" customHeight="1" s="17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</row>
    <row r="360" ht="15.75" customHeight="1" s="17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</row>
    <row r="361" ht="15.75" customHeight="1" s="17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</row>
    <row r="362" ht="15.75" customHeight="1" s="17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</row>
    <row r="363" ht="15.75" customHeight="1" s="17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</row>
    <row r="364" ht="15.75" customHeight="1" s="17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</row>
    <row r="365" ht="15.75" customHeight="1" s="17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</row>
    <row r="366" ht="15.75" customHeight="1" s="17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</row>
    <row r="367" ht="15.75" customHeight="1" s="1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</row>
    <row r="368" ht="15.75" customHeight="1" s="17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</row>
    <row r="369" ht="15.75" customHeight="1" s="17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</row>
    <row r="370" ht="15.75" customHeight="1" s="17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</row>
    <row r="371" ht="15.75" customHeight="1" s="17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</row>
    <row r="372" ht="15.75" customHeight="1" s="17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</row>
    <row r="373" ht="15.75" customHeight="1" s="17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</row>
    <row r="374" ht="15.75" customHeight="1" s="17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</row>
    <row r="375" ht="15.75" customHeight="1" s="17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</row>
    <row r="376" ht="15.75" customHeight="1" s="17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</row>
    <row r="377" ht="15.75" customHeight="1" s="1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</row>
    <row r="378" ht="15.75" customHeight="1" s="17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</row>
    <row r="379" ht="15.75" customHeight="1" s="17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</row>
    <row r="380" ht="15.75" customHeight="1" s="17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</row>
    <row r="381" ht="15.75" customHeight="1" s="17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</row>
    <row r="382" ht="15.75" customHeight="1" s="17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</row>
    <row r="383" ht="15.75" customHeight="1" s="17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</row>
    <row r="384" ht="15.75" customHeight="1" s="17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</row>
    <row r="385" ht="15.75" customHeight="1" s="17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</row>
    <row r="386" ht="15.75" customHeight="1" s="17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</row>
    <row r="387" ht="15.75" customHeight="1" s="1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</row>
    <row r="388" ht="15.75" customHeight="1" s="17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</row>
    <row r="389" ht="15.75" customHeight="1" s="17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</row>
    <row r="390" ht="15.75" customHeight="1" s="17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</row>
    <row r="391" ht="15.75" customHeight="1" s="17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</row>
    <row r="392" ht="15.75" customHeight="1" s="17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 ht="15.75" customHeight="1" s="17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</row>
    <row r="394" ht="15.75" customHeight="1" s="17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</row>
    <row r="395" ht="15.75" customHeight="1" s="17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</row>
    <row r="396" ht="15.75" customHeight="1" s="17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</row>
    <row r="397" ht="15.75" customHeight="1" s="1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</row>
    <row r="398" ht="15.75" customHeight="1" s="17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</row>
    <row r="399" ht="15.75" customHeight="1" s="17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</row>
    <row r="400" ht="15.75" customHeight="1" s="17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</row>
    <row r="401" ht="15.75" customHeight="1" s="17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</row>
    <row r="402" ht="15.75" customHeight="1" s="17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</row>
    <row r="403" ht="15.75" customHeight="1" s="17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</row>
    <row r="404" ht="15.75" customHeight="1" s="17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 ht="15.75" customHeight="1" s="17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</row>
    <row r="406" ht="15.75" customHeight="1" s="17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</row>
    <row r="407" ht="15.75" customHeight="1" s="1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</row>
    <row r="408" ht="15.75" customHeight="1" s="17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</row>
    <row r="409" ht="15.75" customHeight="1" s="17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</row>
    <row r="410" ht="15.75" customHeight="1" s="17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</row>
    <row r="411" ht="15.75" customHeight="1" s="17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</row>
    <row r="412" ht="15.75" customHeight="1" s="17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</row>
    <row r="413" ht="15.75" customHeight="1" s="17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</row>
    <row r="414" ht="15.75" customHeight="1" s="17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</row>
    <row r="415" ht="15.75" customHeight="1" s="17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</row>
    <row r="416" ht="15.75" customHeight="1" s="17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</row>
    <row r="417" ht="15.75" customHeight="1" s="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</row>
    <row r="418" ht="15.75" customHeight="1" s="17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</row>
    <row r="419" ht="15.75" customHeight="1" s="17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 ht="15.75" customHeight="1" s="17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</row>
    <row r="421" ht="15.75" customHeight="1" s="17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</row>
    <row r="422" ht="15.75" customHeight="1" s="17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</row>
    <row r="423" ht="15.75" customHeight="1" s="17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</row>
    <row r="424" ht="15.75" customHeight="1" s="17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</row>
    <row r="425" ht="15.75" customHeight="1" s="17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</row>
    <row r="426" ht="15.75" customHeight="1" s="17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</row>
    <row r="427" ht="15.75" customHeight="1" s="1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</row>
    <row r="428" ht="15.75" customHeight="1" s="17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</row>
    <row r="429" ht="15.75" customHeight="1" s="17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</row>
    <row r="430" ht="15.75" customHeight="1" s="17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</row>
    <row r="431" ht="15.75" customHeight="1" s="17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</row>
    <row r="432" ht="15.75" customHeight="1" s="17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 ht="15.75" customHeight="1" s="17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</row>
    <row r="434" ht="15.75" customHeight="1" s="17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</row>
    <row r="435" ht="15.75" customHeight="1" s="17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</row>
    <row r="436" ht="15.75" customHeight="1" s="17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</row>
    <row r="437" ht="15.75" customHeight="1" s="1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</row>
    <row r="438" ht="15.75" customHeight="1" s="17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</row>
    <row r="439" ht="15.75" customHeight="1" s="17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</row>
    <row r="440" ht="15.75" customHeight="1" s="17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</row>
    <row r="441" ht="15.75" customHeight="1" s="17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</row>
    <row r="442" ht="15.75" customHeight="1" s="17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</row>
    <row r="443" ht="15.75" customHeight="1" s="17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</row>
    <row r="444" ht="15.75" customHeight="1" s="17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</row>
    <row r="445" ht="15.75" customHeight="1" s="17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</row>
    <row r="446" ht="15.75" customHeight="1" s="17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</row>
    <row r="447" ht="15.75" customHeight="1" s="1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</row>
    <row r="448" ht="15.75" customHeight="1" s="17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</row>
    <row r="449" ht="15.75" customHeight="1" s="17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</row>
    <row r="450" ht="15.75" customHeight="1" s="17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 ht="15.75" customHeight="1" s="17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</row>
    <row r="452" ht="15.75" customHeight="1" s="17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</row>
    <row r="453" ht="15.75" customHeight="1" s="17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</row>
    <row r="454" ht="15.75" customHeight="1" s="17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</row>
    <row r="455" ht="15.75" customHeight="1" s="17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</row>
    <row r="456" ht="15.75" customHeight="1" s="17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</row>
    <row r="457" ht="15.75" customHeight="1" s="1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</row>
    <row r="458" ht="15.75" customHeight="1" s="17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</row>
    <row r="459" ht="15.75" customHeight="1" s="17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</row>
    <row r="460" ht="15.75" customHeight="1" s="17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</row>
    <row r="461" ht="15.75" customHeight="1" s="17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</row>
    <row r="462" ht="15.75" customHeight="1" s="17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</row>
    <row r="463" ht="15.75" customHeight="1" s="17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</row>
    <row r="464" ht="15.75" customHeight="1" s="17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</row>
    <row r="465" ht="15.75" customHeight="1" s="17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</row>
    <row r="466" ht="15.75" customHeight="1" s="17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</row>
    <row r="467" ht="15.75" customHeight="1" s="1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</row>
    <row r="468" ht="15.75" customHeight="1" s="17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</row>
    <row r="469" ht="15.75" customHeight="1" s="17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</row>
    <row r="470" ht="15.75" customHeight="1" s="17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</row>
    <row r="471" ht="15.75" customHeight="1" s="17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</row>
    <row r="472" ht="15.75" customHeight="1" s="17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 ht="15.75" customHeight="1" s="17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</row>
    <row r="474" ht="15.75" customHeight="1" s="17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</row>
    <row r="475" ht="15.75" customHeight="1" s="17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</row>
    <row r="476" ht="15.75" customHeight="1" s="17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</row>
    <row r="477" ht="15.75" customHeight="1" s="1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</row>
    <row r="478" ht="15.75" customHeight="1" s="17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</row>
    <row r="479" ht="15.75" customHeight="1" s="17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</row>
    <row r="480" ht="15.75" customHeight="1" s="17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</row>
    <row r="481" ht="15.75" customHeight="1" s="17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</row>
    <row r="482" ht="15.75" customHeight="1" s="17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</row>
    <row r="483" ht="15.75" customHeight="1" s="17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</row>
    <row r="484" ht="15.75" customHeight="1" s="17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</row>
    <row r="485" ht="15.75" customHeight="1" s="17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</row>
    <row r="486" ht="15.75" customHeight="1" s="17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</row>
    <row r="487" ht="15.75" customHeight="1" s="1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</row>
    <row r="488" ht="15.75" customHeight="1" s="17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</row>
    <row r="489" ht="15.75" customHeight="1" s="17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</row>
    <row r="490" ht="15.75" customHeight="1" s="17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</row>
    <row r="491" ht="15.75" customHeight="1" s="17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</row>
    <row r="492" ht="15.75" customHeight="1" s="17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</row>
    <row r="493" ht="15.75" customHeight="1" s="17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</row>
    <row r="494" ht="15.75" customHeight="1" s="17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</row>
    <row r="495" ht="15.75" customHeight="1" s="17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</row>
    <row r="496" ht="15.75" customHeight="1" s="17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 ht="15.75" customHeight="1" s="1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</row>
    <row r="498" ht="15.75" customHeight="1" s="17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</row>
    <row r="499" ht="15.75" customHeight="1" s="17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</row>
    <row r="500" ht="15.75" customHeight="1" s="17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</row>
    <row r="501" ht="15.75" customHeight="1" s="17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</row>
    <row r="502" ht="15.75" customHeight="1" s="17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</row>
    <row r="503" ht="15.75" customHeight="1" s="17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</row>
    <row r="504" ht="15.75" customHeight="1" s="17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</row>
    <row r="505" ht="15.75" customHeight="1" s="17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</row>
    <row r="506" ht="15.75" customHeight="1" s="17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</row>
    <row r="507" ht="15.75" customHeight="1" s="1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</row>
    <row r="508" ht="15.75" customHeight="1" s="17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</row>
    <row r="509" ht="15.75" customHeight="1" s="17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</row>
    <row r="510" ht="15.75" customHeight="1" s="17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</row>
    <row r="511" ht="15.75" customHeight="1" s="17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</row>
    <row r="512" ht="15.75" customHeight="1" s="17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</row>
    <row r="513" ht="15.75" customHeight="1" s="17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</row>
    <row r="514" ht="15.75" customHeight="1" s="17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</row>
    <row r="515" ht="15.75" customHeight="1" s="17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</row>
    <row r="516" ht="15.75" customHeight="1" s="17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</row>
    <row r="517" ht="15.75" customHeight="1" s="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</row>
    <row r="518" ht="15.75" customHeight="1" s="17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</row>
    <row r="519" ht="15.75" customHeight="1" s="17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</row>
    <row r="520" ht="15.75" customHeight="1" s="17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</row>
    <row r="521" ht="15.75" customHeight="1" s="17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</row>
    <row r="522" ht="15.75" customHeight="1" s="17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</row>
    <row r="523" ht="15.75" customHeight="1" s="17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</row>
    <row r="524" ht="15.75" customHeight="1" s="17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</row>
    <row r="525" ht="15.75" customHeight="1" s="17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</row>
    <row r="526" ht="15.75" customHeight="1" s="17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</row>
    <row r="527" ht="15.75" customHeight="1" s="1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</row>
    <row r="528" ht="15.75" customHeight="1" s="17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</row>
    <row r="529" ht="15.75" customHeight="1" s="17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</row>
    <row r="530" ht="15.75" customHeight="1" s="17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</row>
    <row r="531" ht="15.75" customHeight="1" s="17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</row>
    <row r="532" ht="15.75" customHeight="1" s="17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</row>
    <row r="533" ht="15.75" customHeight="1" s="17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</row>
    <row r="534" ht="15.75" customHeight="1" s="17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</row>
    <row r="535" ht="15.75" customHeight="1" s="17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</row>
    <row r="536" ht="15.75" customHeight="1" s="17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</row>
    <row r="537" ht="15.75" customHeight="1" s="1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</row>
    <row r="538" ht="15.75" customHeight="1" s="17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</row>
    <row r="539" ht="15.75" customHeight="1" s="17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</row>
    <row r="540" ht="15.75" customHeight="1" s="17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</row>
    <row r="541" ht="15.75" customHeight="1" s="17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</row>
    <row r="542" ht="15.75" customHeight="1" s="17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</row>
    <row r="543" ht="15.75" customHeight="1" s="17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</row>
    <row r="544" ht="15.75" customHeight="1" s="17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</row>
    <row r="545" ht="15.75" customHeight="1" s="17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</row>
    <row r="546" ht="15.75" customHeight="1" s="17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</row>
    <row r="547" ht="15.75" customHeight="1" s="1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</row>
    <row r="548" ht="15.75" customHeight="1" s="17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</row>
    <row r="549" ht="15.75" customHeight="1" s="17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</row>
    <row r="550" ht="15.75" customHeight="1" s="17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</row>
    <row r="551" ht="15.75" customHeight="1" s="17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</row>
    <row r="552" ht="15.75" customHeight="1" s="17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</row>
    <row r="553" ht="15.75" customHeight="1" s="17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</row>
    <row r="554" ht="15.75" customHeight="1" s="17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</row>
    <row r="555" ht="15.75" customHeight="1" s="17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</row>
    <row r="556" ht="15.75" customHeight="1" s="17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</row>
    <row r="557" ht="15.75" customHeight="1" s="1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</row>
    <row r="558" ht="15.75" customHeight="1" s="17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</row>
    <row r="559" ht="15.75" customHeight="1" s="17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</row>
    <row r="560" ht="15.75" customHeight="1" s="17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</row>
    <row r="561" ht="15.75" customHeight="1" s="17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</row>
    <row r="562" ht="15.75" customHeight="1" s="17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</row>
    <row r="563" ht="15.75" customHeight="1" s="17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</row>
    <row r="564" ht="15.75" customHeight="1" s="17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</row>
    <row r="565" ht="15.75" customHeight="1" s="17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</row>
    <row r="566" ht="15.75" customHeight="1" s="17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</row>
    <row r="567" ht="15.75" customHeight="1" s="1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</row>
    <row r="568" ht="15.75" customHeight="1" s="17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</row>
    <row r="569" ht="15.75" customHeight="1" s="17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</row>
    <row r="570" ht="15.75" customHeight="1" s="17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</row>
    <row r="571" ht="15.75" customHeight="1" s="17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</row>
    <row r="572" ht="15.75" customHeight="1" s="17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</row>
    <row r="573" ht="15.75" customHeight="1" s="17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</row>
    <row r="574" ht="15.75" customHeight="1" s="17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</row>
    <row r="575" ht="15.75" customHeight="1" s="17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</row>
    <row r="576" ht="15.75" customHeight="1" s="17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</row>
    <row r="577" ht="15.75" customHeight="1" s="1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</row>
    <row r="578" ht="15.75" customHeight="1" s="17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</row>
    <row r="579" ht="15.75" customHeight="1" s="17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</row>
    <row r="580" ht="15.75" customHeight="1" s="17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</row>
    <row r="581" ht="15.75" customHeight="1" s="17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</row>
    <row r="582" ht="15.75" customHeight="1" s="17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</row>
    <row r="583" ht="15.75" customHeight="1" s="17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</row>
    <row r="584" ht="15.75" customHeight="1" s="17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</row>
    <row r="585" ht="15.75" customHeight="1" s="17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</row>
    <row r="586" ht="15.75" customHeight="1" s="17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</row>
    <row r="587" ht="15.75" customHeight="1" s="1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</row>
    <row r="588" ht="15.75" customHeight="1" s="17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</row>
    <row r="589" ht="15.75" customHeight="1" s="17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</row>
    <row r="590" ht="15.75" customHeight="1" s="17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</row>
    <row r="591" ht="15.75" customHeight="1" s="17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</row>
    <row r="592" ht="15.75" customHeight="1" s="17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</row>
    <row r="593" ht="15.75" customHeight="1" s="17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</row>
    <row r="594" ht="15.75" customHeight="1" s="17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</row>
    <row r="595" ht="15.75" customHeight="1" s="17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</row>
    <row r="596" ht="15.75" customHeight="1" s="17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</row>
    <row r="597" ht="15.75" customHeight="1" s="1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</row>
    <row r="598" ht="15.75" customHeight="1" s="17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</row>
    <row r="599" ht="15.75" customHeight="1" s="17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</row>
    <row r="600" ht="15.75" customHeight="1" s="17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</row>
    <row r="601" ht="15.75" customHeight="1" s="17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</row>
    <row r="602" ht="15.75" customHeight="1" s="17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</row>
    <row r="603" ht="15.75" customHeight="1" s="17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</row>
    <row r="604" ht="15.75" customHeight="1" s="17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</row>
    <row r="605" ht="15.75" customHeight="1" s="17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</row>
    <row r="606" ht="15.75" customHeight="1" s="17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</row>
    <row r="607" ht="15.75" customHeight="1" s="1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</row>
    <row r="608" ht="15.75" customHeight="1" s="17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</row>
    <row r="609" ht="15.75" customHeight="1" s="17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</row>
    <row r="610" ht="15.75" customHeight="1" s="17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</row>
    <row r="611" ht="15.75" customHeight="1" s="17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</row>
    <row r="612" ht="15.75" customHeight="1" s="17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</row>
    <row r="613" ht="15.75" customHeight="1" s="17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</row>
    <row r="614" ht="15.75" customHeight="1" s="17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</row>
    <row r="615" ht="15.75" customHeight="1" s="17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</row>
    <row r="616" ht="15.75" customHeight="1" s="17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</row>
    <row r="617" ht="15.75" customHeight="1" s="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</row>
    <row r="618" ht="15.75" customHeight="1" s="17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</row>
    <row r="619" ht="15.75" customHeight="1" s="17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 ht="15.75" customHeight="1" s="17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</row>
    <row r="621" ht="15.75" customHeight="1" s="17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</row>
    <row r="622" ht="15.75" customHeight="1" s="17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</row>
    <row r="623" ht="15.75" customHeight="1" s="17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</row>
    <row r="624" ht="15.75" customHeight="1" s="17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</row>
    <row r="625" ht="15.75" customHeight="1" s="17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</row>
    <row r="626" ht="15.75" customHeight="1" s="17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</row>
    <row r="627" ht="15.75" customHeight="1" s="1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</row>
    <row r="628" ht="15.75" customHeight="1" s="17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</row>
    <row r="629" ht="15.75" customHeight="1" s="17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</row>
    <row r="630" ht="15.75" customHeight="1" s="17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</row>
    <row r="631" ht="15.75" customHeight="1" s="17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</row>
    <row r="632" ht="15.75" customHeight="1" s="17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</row>
    <row r="633" ht="15.75" customHeight="1" s="17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</row>
    <row r="634" ht="15.75" customHeight="1" s="17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</row>
    <row r="635" ht="15.75" customHeight="1" s="17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</row>
    <row r="636" ht="15.75" customHeight="1" s="17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</row>
    <row r="637" ht="15.75" customHeight="1" s="1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</row>
    <row r="638" ht="15.75" customHeight="1" s="17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</row>
    <row r="639" ht="15.75" customHeight="1" s="17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</row>
    <row r="640" ht="15.75" customHeight="1" s="17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</row>
    <row r="641" ht="15.75" customHeight="1" s="17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</row>
    <row r="642" ht="15.75" customHeight="1" s="17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</row>
    <row r="643" ht="15.75" customHeight="1" s="17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</row>
    <row r="644" ht="15.75" customHeight="1" s="17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</row>
    <row r="645" ht="15.75" customHeight="1" s="17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</row>
    <row r="646" ht="15.75" customHeight="1" s="17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</row>
    <row r="647" ht="15.75" customHeight="1" s="1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</row>
    <row r="648" ht="15.75" customHeight="1" s="17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</row>
    <row r="649" ht="15.75" customHeight="1" s="17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</row>
    <row r="650" ht="15.75" customHeight="1" s="17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</row>
    <row r="651" ht="15.75" customHeight="1" s="17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</row>
    <row r="652" ht="15.75" customHeight="1" s="17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</row>
    <row r="653" ht="15.75" customHeight="1" s="17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</row>
    <row r="654" ht="15.75" customHeight="1" s="17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</row>
    <row r="655" ht="15.75" customHeight="1" s="17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</row>
    <row r="656" ht="15.75" customHeight="1" s="17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</row>
    <row r="657" ht="15.75" customHeight="1" s="1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</row>
    <row r="658" ht="15.75" customHeight="1" s="17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</row>
    <row r="659" ht="15.75" customHeight="1" s="17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</row>
    <row r="660" ht="15.75" customHeight="1" s="17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</row>
    <row r="661" ht="15.75" customHeight="1" s="17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</row>
    <row r="662" ht="15.75" customHeight="1" s="17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</row>
    <row r="663" ht="15.75" customHeight="1" s="17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</row>
    <row r="664" ht="15.75" customHeight="1" s="17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</row>
    <row r="665" ht="15.75" customHeight="1" s="17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</row>
    <row r="666" ht="15.75" customHeight="1" s="17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</row>
    <row r="667" ht="15.75" customHeight="1" s="1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</row>
    <row r="668" ht="15.75" customHeight="1" s="17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</row>
    <row r="669" ht="15.75" customHeight="1" s="17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</row>
    <row r="670" ht="15.75" customHeight="1" s="17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</row>
    <row r="671" ht="15.75" customHeight="1" s="17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</row>
    <row r="672" ht="15.75" customHeight="1" s="17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</row>
    <row r="673" ht="15.75" customHeight="1" s="17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</row>
    <row r="674" ht="15.75" customHeight="1" s="17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</row>
    <row r="675" ht="15.75" customHeight="1" s="17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</row>
    <row r="676" ht="15.75" customHeight="1" s="17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</row>
    <row r="677" ht="15.75" customHeight="1" s="1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</row>
    <row r="678" ht="15.75" customHeight="1" s="17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</row>
    <row r="679" ht="15.75" customHeight="1" s="17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</row>
    <row r="680" ht="15.75" customHeight="1" s="17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</row>
    <row r="681" ht="15.75" customHeight="1" s="17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</row>
    <row r="682" ht="15.75" customHeight="1" s="17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</row>
    <row r="683" ht="15.75" customHeight="1" s="17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</row>
    <row r="684" ht="15.75" customHeight="1" s="17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</row>
    <row r="685" ht="15.75" customHeight="1" s="17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</row>
    <row r="686" ht="15.75" customHeight="1" s="17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</row>
    <row r="687" ht="15.75" customHeight="1" s="1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</row>
    <row r="688" ht="15.75" customHeight="1" s="17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</row>
    <row r="689" ht="15.75" customHeight="1" s="17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</row>
    <row r="690" ht="15.75" customHeight="1" s="17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</row>
    <row r="691" ht="15.75" customHeight="1" s="17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</row>
    <row r="692" ht="15.75" customHeight="1" s="17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</row>
    <row r="693" ht="15.75" customHeight="1" s="17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</row>
    <row r="694" ht="15.75" customHeight="1" s="17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</row>
    <row r="695" ht="15.75" customHeight="1" s="17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</row>
    <row r="696" ht="15.75" customHeight="1" s="17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</row>
    <row r="697" ht="15.75" customHeight="1" s="1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</row>
    <row r="698" ht="15.75" customHeight="1" s="17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</row>
    <row r="699" ht="15.75" customHeight="1" s="17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</row>
    <row r="700" ht="15.75" customHeight="1" s="17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</row>
    <row r="701" ht="15.75" customHeight="1" s="17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</row>
    <row r="702" ht="15.75" customHeight="1" s="17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</row>
    <row r="703" ht="15.75" customHeight="1" s="17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</row>
    <row r="704" ht="15.75" customHeight="1" s="17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</row>
    <row r="705" ht="15.75" customHeight="1" s="17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</row>
    <row r="706" ht="15.75" customHeight="1" s="17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</row>
    <row r="707" ht="15.75" customHeight="1" s="1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</row>
    <row r="708" ht="15.75" customHeight="1" s="17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</row>
    <row r="709" ht="15.75" customHeight="1" s="17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</row>
    <row r="710" ht="15.75" customHeight="1" s="17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</row>
    <row r="711" ht="15.75" customHeight="1" s="17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</row>
    <row r="712" ht="15.75" customHeight="1" s="17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</row>
    <row r="713" ht="15.75" customHeight="1" s="17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</row>
    <row r="714" ht="15.75" customHeight="1" s="17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</row>
    <row r="715" ht="15.75" customHeight="1" s="17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</row>
    <row r="716" ht="15.75" customHeight="1" s="17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</row>
    <row r="717" ht="15.75" customHeight="1" s="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</row>
    <row r="718" ht="15.75" customHeight="1" s="17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</row>
    <row r="719" ht="15.75" customHeight="1" s="17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</row>
    <row r="720" ht="15.75" customHeight="1" s="17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</row>
    <row r="721" ht="15.75" customHeight="1" s="17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</row>
    <row r="722" ht="15.75" customHeight="1" s="17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</row>
    <row r="723" ht="15.75" customHeight="1" s="17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</row>
    <row r="724" ht="15.75" customHeight="1" s="17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</row>
    <row r="725" ht="15.75" customHeight="1" s="17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</row>
    <row r="726" ht="15.75" customHeight="1" s="17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</row>
    <row r="727" ht="15.75" customHeight="1" s="1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</row>
    <row r="728" ht="15.75" customHeight="1" s="17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</row>
    <row r="729" ht="15.75" customHeight="1" s="17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</row>
    <row r="730" ht="15.75" customHeight="1" s="17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</row>
    <row r="731" ht="15.75" customHeight="1" s="17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</row>
    <row r="732" ht="15.75" customHeight="1" s="17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</row>
    <row r="733" ht="15.75" customHeight="1" s="17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</row>
    <row r="734" ht="15.75" customHeight="1" s="17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</row>
    <row r="735" ht="15.75" customHeight="1" s="17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</row>
    <row r="736" ht="15.75" customHeight="1" s="17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</row>
    <row r="737" ht="15.75" customHeight="1" s="1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</row>
    <row r="738" ht="15.75" customHeight="1" s="17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</row>
    <row r="739" ht="15.75" customHeight="1" s="17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</row>
    <row r="740" ht="15.75" customHeight="1" s="17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</row>
    <row r="741" ht="15.75" customHeight="1" s="17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</row>
    <row r="742" ht="15.75" customHeight="1" s="17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</row>
    <row r="743" ht="15.75" customHeight="1" s="17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</row>
    <row r="744" ht="15.75" customHeight="1" s="17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</row>
    <row r="745" ht="15.75" customHeight="1" s="17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</row>
    <row r="746" ht="15.75" customHeight="1" s="17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</row>
    <row r="747" ht="15.75" customHeight="1" s="1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</row>
    <row r="748" ht="15.75" customHeight="1" s="17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</row>
    <row r="749" ht="15.75" customHeight="1" s="17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</row>
    <row r="750" ht="15.75" customHeight="1" s="17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</row>
    <row r="751" ht="15.75" customHeight="1" s="17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</row>
    <row r="752" ht="15.75" customHeight="1" s="17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</row>
    <row r="753" ht="15.75" customHeight="1" s="17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</row>
    <row r="754" ht="15.75" customHeight="1" s="17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</row>
    <row r="755" ht="15.75" customHeight="1" s="17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</row>
    <row r="756" ht="15.75" customHeight="1" s="17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</row>
    <row r="757" ht="15.75" customHeight="1" s="1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</row>
    <row r="758" ht="15.75" customHeight="1" s="17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</row>
    <row r="759" ht="15.75" customHeight="1" s="17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</row>
    <row r="760" ht="15.75" customHeight="1" s="17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</row>
    <row r="761" ht="15.75" customHeight="1" s="17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</row>
    <row r="762" ht="15.75" customHeight="1" s="17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</row>
    <row r="763" ht="15.75" customHeight="1" s="17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</row>
    <row r="764" ht="15.75" customHeight="1" s="17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</row>
    <row r="765" ht="15.75" customHeight="1" s="17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</row>
    <row r="766" ht="15.75" customHeight="1" s="17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</row>
    <row r="767" ht="15.75" customHeight="1" s="1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</row>
    <row r="768" ht="15.75" customHeight="1" s="17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</row>
    <row r="769" ht="15.75" customHeight="1" s="17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</row>
    <row r="770" ht="15.75" customHeight="1" s="17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</row>
    <row r="771" ht="15.75" customHeight="1" s="17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</row>
    <row r="772" ht="15.75" customHeight="1" s="17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</row>
    <row r="773" ht="15.75" customHeight="1" s="17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</row>
    <row r="774" ht="15.75" customHeight="1" s="17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</row>
    <row r="775" ht="15.75" customHeight="1" s="17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</row>
    <row r="776" ht="15.75" customHeight="1" s="17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</row>
    <row r="777" ht="15.75" customHeight="1" s="1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</row>
    <row r="778" ht="15.75" customHeight="1" s="17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</row>
    <row r="779" ht="15.75" customHeight="1" s="17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</row>
    <row r="780" ht="15.75" customHeight="1" s="17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</row>
    <row r="781" ht="15.75" customHeight="1" s="17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</row>
    <row r="782" ht="15.75" customHeight="1" s="17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</row>
    <row r="783" ht="15.75" customHeight="1" s="17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</row>
    <row r="784" ht="15.75" customHeight="1" s="17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</row>
    <row r="785" ht="15.75" customHeight="1" s="17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</row>
    <row r="786" ht="15.75" customHeight="1" s="17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</row>
    <row r="787" ht="15.75" customHeight="1" s="1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</row>
    <row r="788" ht="15.75" customHeight="1" s="17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</row>
    <row r="789" ht="15.75" customHeight="1" s="17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</row>
    <row r="790" ht="15.75" customHeight="1" s="17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</row>
    <row r="791" ht="15.75" customHeight="1" s="17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</row>
    <row r="792" ht="15.75" customHeight="1" s="17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</row>
    <row r="793" ht="15.75" customHeight="1" s="17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</row>
    <row r="794" ht="15.75" customHeight="1" s="17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</row>
    <row r="795" ht="15.75" customHeight="1" s="17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</row>
    <row r="796" ht="15.75" customHeight="1" s="17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</row>
    <row r="797" ht="15.75" customHeight="1" s="1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</row>
    <row r="798" ht="15.75" customHeight="1" s="17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</row>
    <row r="799" ht="15.75" customHeight="1" s="17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</row>
    <row r="800" ht="15.75" customHeight="1" s="17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</row>
    <row r="801" ht="15.75" customHeight="1" s="17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</row>
    <row r="802" ht="15.75" customHeight="1" s="17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</row>
    <row r="803" ht="15.75" customHeight="1" s="17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</row>
    <row r="804" ht="15.75" customHeight="1" s="17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</row>
    <row r="805" ht="15.75" customHeight="1" s="17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</row>
    <row r="806" ht="15.75" customHeight="1" s="17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</row>
    <row r="807" ht="15.75" customHeight="1" s="1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</row>
    <row r="808" ht="15.75" customHeight="1" s="17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</row>
    <row r="809" ht="15.75" customHeight="1" s="17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</row>
    <row r="810" ht="15.75" customHeight="1" s="17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</row>
    <row r="811" ht="15.75" customHeight="1" s="17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</row>
    <row r="812" ht="15.75" customHeight="1" s="17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</row>
    <row r="813" ht="15.75" customHeight="1" s="17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</row>
    <row r="814" ht="15.75" customHeight="1" s="17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</row>
    <row r="815" ht="15.75" customHeight="1" s="17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</row>
    <row r="816" ht="15.75" customHeight="1" s="17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</row>
    <row r="817" ht="15.75" customHeight="1" s="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</row>
    <row r="818" ht="15.75" customHeight="1" s="17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</row>
    <row r="819" ht="15.75" customHeight="1" s="17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</row>
    <row r="820" ht="15.75" customHeight="1" s="17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</row>
    <row r="821" ht="15.75" customHeight="1" s="17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</row>
    <row r="822" ht="15.75" customHeight="1" s="17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</row>
    <row r="823" ht="15.75" customHeight="1" s="17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</row>
    <row r="824" ht="15.75" customHeight="1" s="17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</row>
    <row r="825" ht="15.75" customHeight="1" s="17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</row>
    <row r="826" ht="15.75" customHeight="1" s="17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</row>
    <row r="827" ht="15.75" customHeight="1" s="1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</row>
    <row r="828" ht="15.75" customHeight="1" s="17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</row>
    <row r="829" ht="15.75" customHeight="1" s="17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</row>
    <row r="830" ht="15.75" customHeight="1" s="17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</row>
    <row r="831" ht="15.75" customHeight="1" s="17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</row>
    <row r="832" ht="15.75" customHeight="1" s="17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</row>
    <row r="833" ht="15.75" customHeight="1" s="17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</row>
    <row r="834" ht="15.75" customHeight="1" s="17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</row>
    <row r="835" ht="15.75" customHeight="1" s="17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</row>
    <row r="836" ht="15.75" customHeight="1" s="17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</row>
    <row r="837" ht="15.75" customHeight="1" s="1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</row>
    <row r="838" ht="15.75" customHeight="1" s="17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</row>
    <row r="839" ht="15.75" customHeight="1" s="17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</row>
    <row r="840" ht="15.75" customHeight="1" s="17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</row>
    <row r="841" ht="15.75" customHeight="1" s="17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</row>
    <row r="842" ht="15.75" customHeight="1" s="17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</row>
    <row r="843" ht="15.75" customHeight="1" s="17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</row>
    <row r="844" ht="15.75" customHeight="1" s="17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</row>
    <row r="845" ht="15.75" customHeight="1" s="17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</row>
    <row r="846" ht="15.75" customHeight="1" s="17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</row>
    <row r="847" ht="15.75" customHeight="1" s="1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</row>
    <row r="848" ht="15.75" customHeight="1" s="17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</row>
    <row r="849" ht="15.75" customHeight="1" s="17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</row>
    <row r="850" ht="15.75" customHeight="1" s="17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</row>
    <row r="851" ht="15.75" customHeight="1" s="17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</row>
    <row r="852" ht="15.75" customHeight="1" s="17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</row>
    <row r="853" ht="15.75" customHeight="1" s="17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</row>
    <row r="854" ht="15.75" customHeight="1" s="17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</row>
    <row r="855" ht="15.75" customHeight="1" s="17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</row>
    <row r="856" ht="15.75" customHeight="1" s="17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</row>
    <row r="857" ht="15.75" customHeight="1" s="1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</row>
    <row r="858" ht="15.75" customHeight="1" s="17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</row>
    <row r="859" ht="15.75" customHeight="1" s="17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</row>
    <row r="860" ht="15.75" customHeight="1" s="17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</row>
    <row r="861" ht="15.75" customHeight="1" s="17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</row>
    <row r="862" ht="15.75" customHeight="1" s="17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</row>
    <row r="863" ht="15.75" customHeight="1" s="17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</row>
    <row r="864" ht="15.75" customHeight="1" s="17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</row>
    <row r="865" ht="15.75" customHeight="1" s="17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</row>
    <row r="866" ht="15.75" customHeight="1" s="17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</row>
    <row r="867" ht="15.75" customHeight="1" s="1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</row>
    <row r="868" ht="15.75" customHeight="1" s="17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</row>
    <row r="869" ht="15.75" customHeight="1" s="17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</row>
    <row r="870" ht="15.75" customHeight="1" s="17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</row>
    <row r="871" ht="15.75" customHeight="1" s="17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</row>
    <row r="872" ht="15.75" customHeight="1" s="17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</row>
    <row r="873" ht="15.75" customHeight="1" s="17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</row>
    <row r="874" ht="15.75" customHeight="1" s="17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</row>
    <row r="875" ht="15.75" customHeight="1" s="17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</row>
    <row r="876" ht="15.75" customHeight="1" s="17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</row>
    <row r="877" ht="15.75" customHeight="1" s="1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</row>
    <row r="878" ht="15.75" customHeight="1" s="17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</row>
    <row r="879" ht="15.75" customHeight="1" s="17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</row>
    <row r="880" ht="15.75" customHeight="1" s="17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</row>
    <row r="881" ht="15.75" customHeight="1" s="17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</row>
    <row r="882" ht="15.75" customHeight="1" s="17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</row>
    <row r="883" ht="15.75" customHeight="1" s="17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</row>
    <row r="884" ht="15.75" customHeight="1" s="17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</row>
    <row r="885" ht="15.75" customHeight="1" s="17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</row>
    <row r="886" ht="15.75" customHeight="1" s="17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</row>
    <row r="887" ht="15.75" customHeight="1" s="1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</row>
    <row r="888" ht="15.75" customHeight="1" s="17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</row>
    <row r="889" ht="15.75" customHeight="1" s="17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</row>
    <row r="890" ht="15.75" customHeight="1" s="17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</row>
    <row r="891" ht="15.75" customHeight="1" s="17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</row>
    <row r="892" ht="15.75" customHeight="1" s="17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</row>
    <row r="893" ht="15.75" customHeight="1" s="17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</row>
    <row r="894" ht="15.75" customHeight="1" s="17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</row>
    <row r="895" ht="15.75" customHeight="1" s="17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</row>
    <row r="896" ht="15.75" customHeight="1" s="17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</row>
    <row r="897" ht="15.75" customHeight="1" s="1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</row>
    <row r="898" ht="15.75" customHeight="1" s="17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</row>
    <row r="899" ht="15.75" customHeight="1" s="17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</row>
    <row r="900" ht="15.75" customHeight="1" s="17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</row>
    <row r="901" ht="15.75" customHeight="1" s="17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</row>
    <row r="902" ht="15.75" customHeight="1" s="17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</row>
    <row r="903" ht="15.75" customHeight="1" s="17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</row>
    <row r="904" ht="15.75" customHeight="1" s="17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</row>
    <row r="905" ht="15.75" customHeight="1" s="17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</row>
    <row r="906" ht="15.75" customHeight="1" s="17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</row>
    <row r="907" ht="15.75" customHeight="1" s="1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</row>
    <row r="908" ht="15.75" customHeight="1" s="17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</row>
    <row r="909" ht="15.75" customHeight="1" s="17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</row>
    <row r="910" ht="15.75" customHeight="1" s="17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</row>
    <row r="911" ht="15.75" customHeight="1" s="17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</row>
    <row r="912" ht="15.75" customHeight="1" s="17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</row>
    <row r="913" ht="15.75" customHeight="1" s="17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</row>
    <row r="914" ht="15.75" customHeight="1" s="17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</row>
    <row r="915" ht="15.75" customHeight="1" s="17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</row>
    <row r="916" ht="15.75" customHeight="1" s="17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</row>
    <row r="917" ht="15.75" customHeight="1" s="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</row>
    <row r="918" ht="15.75" customHeight="1" s="17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</row>
    <row r="919" ht="15.75" customHeight="1" s="17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</row>
    <row r="920" ht="15.75" customHeight="1" s="17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</row>
    <row r="921" ht="15.75" customHeight="1" s="17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</row>
    <row r="922" ht="15.75" customHeight="1" s="17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</row>
    <row r="923" ht="15.75" customHeight="1" s="17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</row>
    <row r="924" ht="15.75" customHeight="1" s="17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</row>
    <row r="925" ht="15.75" customHeight="1" s="17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 ht="15.75" customHeight="1" s="17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</row>
    <row r="927" ht="15.75" customHeight="1" s="1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</row>
    <row r="928" ht="15.75" customHeight="1" s="17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</row>
    <row r="929" ht="15.75" customHeight="1" s="17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</row>
    <row r="930" ht="15.75" customHeight="1" s="17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</row>
    <row r="931" ht="15.75" customHeight="1" s="17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</row>
    <row r="932" ht="15.75" customHeight="1" s="17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</row>
    <row r="933" ht="15.75" customHeight="1" s="17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</row>
    <row r="934" ht="15.75" customHeight="1" s="17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</row>
    <row r="935" ht="15.75" customHeight="1" s="17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</row>
    <row r="936" ht="15.75" customHeight="1" s="17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</row>
    <row r="937" ht="15.75" customHeight="1" s="1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</row>
    <row r="938" ht="15.75" customHeight="1" s="17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</row>
    <row r="939" ht="15.75" customHeight="1" s="17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</row>
    <row r="940" ht="15.75" customHeight="1" s="17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</row>
    <row r="941" ht="15.75" customHeight="1" s="17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</row>
    <row r="942" ht="15.75" customHeight="1" s="17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</row>
    <row r="943" ht="15.75" customHeight="1" s="17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</row>
    <row r="944" ht="15.75" customHeight="1" s="17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</row>
    <row r="945" ht="15.75" customHeight="1" s="17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</row>
    <row r="946" ht="15.75" customHeight="1" s="17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</row>
    <row r="947" ht="15.75" customHeight="1" s="1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</row>
    <row r="948" ht="15.75" customHeight="1" s="17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</row>
    <row r="949" ht="15.75" customHeight="1" s="17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</row>
    <row r="950" ht="15.75" customHeight="1" s="17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</row>
    <row r="951" ht="15.75" customHeight="1" s="17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</row>
    <row r="952" ht="15.75" customHeight="1" s="17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</row>
    <row r="953" ht="15.75" customHeight="1" s="17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</row>
    <row r="954" ht="15.75" customHeight="1" s="17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</row>
    <row r="955" ht="15.75" customHeight="1" s="17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</row>
    <row r="956" ht="15.75" customHeight="1" s="17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</row>
    <row r="957" ht="15.75" customHeight="1" s="1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</row>
    <row r="958" ht="15.75" customHeight="1" s="17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</row>
    <row r="959" ht="15.75" customHeight="1" s="17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</row>
    <row r="960" ht="15.75" customHeight="1" s="17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</row>
    <row r="961" ht="15.75" customHeight="1" s="17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</row>
    <row r="962" ht="15.75" customHeight="1" s="17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</row>
    <row r="963" ht="15.75" customHeight="1" s="17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</row>
    <row r="964" ht="15.75" customHeight="1" s="17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</row>
    <row r="965" ht="15.75" customHeight="1" s="17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</row>
    <row r="966" ht="15.75" customHeight="1" s="17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</row>
    <row r="967" ht="15.75" customHeight="1" s="1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</row>
    <row r="968" ht="15.75" customHeight="1" s="17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</row>
    <row r="969" ht="15.75" customHeight="1" s="17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</row>
    <row r="970" ht="15.75" customHeight="1" s="17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</row>
    <row r="971" ht="15.75" customHeight="1" s="17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</row>
    <row r="972" ht="15.75" customHeight="1" s="17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</row>
    <row r="973" ht="15.75" customHeight="1" s="17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</row>
    <row r="974" ht="15.75" customHeight="1" s="17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</row>
    <row r="975" ht="15.75" customHeight="1" s="17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</row>
    <row r="976" ht="15.75" customHeight="1" s="17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</row>
    <row r="977" ht="15.75" customHeight="1" s="1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</row>
    <row r="978" ht="15.75" customHeight="1" s="17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</row>
    <row r="979" ht="15.75" customHeight="1" s="17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</row>
    <row r="980" ht="15.75" customHeight="1" s="17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</row>
    <row r="981" ht="15.75" customHeight="1" s="17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</row>
    <row r="982" ht="15.75" customHeight="1" s="17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</row>
    <row r="983" ht="15.75" customHeight="1" s="17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</row>
    <row r="984" ht="15.75" customHeight="1" s="17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</row>
    <row r="985" ht="15.75" customHeight="1" s="17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</row>
    <row r="986" ht="15.75" customHeight="1" s="17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</row>
    <row r="987" ht="15.75" customHeight="1" s="1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</row>
    <row r="988" ht="15.75" customHeight="1" s="17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</row>
    <row r="989" ht="15.75" customHeight="1" s="17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</row>
    <row r="990" ht="15.75" customHeight="1" s="17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</row>
    <row r="991" ht="15.75" customHeight="1" s="17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</row>
    <row r="992" ht="15.75" customHeight="1" s="17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</row>
    <row r="993" ht="15.75" customHeight="1" s="17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</row>
    <row r="994" ht="15.75" customHeight="1" s="17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</row>
    <row r="995" ht="15.75" customHeight="1" s="17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</row>
    <row r="996" ht="15.75" customHeight="1" s="17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</row>
    <row r="997" ht="15.75" customHeight="1" s="1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</row>
    <row r="998" ht="15.75" customHeight="1" s="17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</row>
    <row r="999" ht="15.75" customHeight="1" s="17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</row>
    <row r="1000" ht="15.75" customHeight="1" s="17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article_id</t>
        </is>
      </c>
      <c r="B1" s="0" t="inlineStr">
        <is>
          <t>score</t>
        </is>
      </c>
      <c r="C1" s="0" t="inlineStr">
        <is>
          <t>cluster_score</t>
        </is>
      </c>
      <c r="D1" s="0" t="inlineStr">
        <is>
          <t>gap_score</t>
        </is>
      </c>
      <c r="E1" s="0" t="inlineStr">
        <is>
          <t>coverage_score</t>
        </is>
      </c>
      <c r="F1" s="0" t="inlineStr">
        <is>
          <t>links_score</t>
        </is>
      </c>
      <c r="G1" s="0" t="inlineStr">
        <is>
          <t>readiness_score</t>
        </is>
      </c>
      <c r="H1" s="0" t="inlineStr">
        <is>
          <t>keywords_score</t>
        </is>
      </c>
      <c r="I1" s="0" t="inlineStr">
        <is>
          <t>updated_at</t>
        </is>
      </c>
      <c r="J1" s="0" t="inlineStr">
        <is>
          <t>notes</t>
        </is>
      </c>
    </row>
    <row r="2">
      <c r="A2" s="0" t="inlineStr">
        <is>
          <t>15</t>
        </is>
      </c>
      <c r="B2" s="0" t="n">
        <v>88</v>
      </c>
      <c r="C2" s="0" t="n">
        <v>100</v>
      </c>
      <c r="D2" s="0" t="n">
        <v>95</v>
      </c>
      <c r="E2" s="0" t="n">
        <v>85</v>
      </c>
      <c r="F2" s="0" t="n">
        <v>100</v>
      </c>
      <c r="G2" s="0" t="n">
        <v>40</v>
      </c>
      <c r="H2" s="0" t="n">
        <v>100</v>
      </c>
      <c r="I2" s="0" t="inlineStr"/>
      <c r="J2" s="0" t="inlineStr">
        <is>
          <t>кластер: Материалы / Припои</t>
        </is>
      </c>
    </row>
    <row r="3">
      <c r="A3" s="0" t="inlineStr">
        <is>
          <t>16</t>
        </is>
      </c>
      <c r="B3" s="0" t="n">
        <v>82</v>
      </c>
      <c r="C3" s="0" t="n">
        <v>100</v>
      </c>
      <c r="D3" s="0" t="n">
        <v>95</v>
      </c>
      <c r="E3" s="0" t="n">
        <v>85</v>
      </c>
      <c r="F3" s="0" t="n">
        <v>60</v>
      </c>
      <c r="G3" s="0" t="n">
        <v>40</v>
      </c>
      <c r="H3" s="0" t="n">
        <v>100</v>
      </c>
      <c r="I3" s="0" t="inlineStr"/>
      <c r="J3" s="0" t="inlineStr">
        <is>
          <t>кластер: Материалы / Припои</t>
        </is>
      </c>
    </row>
    <row r="4">
      <c r="A4" s="0" t="inlineStr">
        <is>
          <t>20</t>
        </is>
      </c>
      <c r="B4" s="0" t="n">
        <v>93</v>
      </c>
      <c r="C4" s="0" t="n">
        <v>100</v>
      </c>
      <c r="D4" s="0" t="n">
        <v>95</v>
      </c>
      <c r="E4" s="0" t="n">
        <v>100</v>
      </c>
      <c r="F4" s="0" t="n">
        <v>100</v>
      </c>
      <c r="G4" s="0" t="n">
        <v>70</v>
      </c>
      <c r="H4" s="0" t="n">
        <v>88</v>
      </c>
      <c r="I4" s="0" t="inlineStr"/>
      <c r="J4" s="0" t="inlineStr">
        <is>
          <t>кластер: Материалы / Флюсы</t>
        </is>
      </c>
    </row>
    <row r="5">
      <c r="A5" s="0" t="inlineStr">
        <is>
          <t>25</t>
        </is>
      </c>
      <c r="B5" s="0" t="n">
        <v>91</v>
      </c>
      <c r="C5" s="0" t="n">
        <v>100</v>
      </c>
      <c r="D5" s="0" t="n">
        <v>95</v>
      </c>
      <c r="E5" s="0" t="n">
        <v>85</v>
      </c>
      <c r="F5" s="0" t="n">
        <v>100</v>
      </c>
      <c r="G5" s="0" t="n">
        <v>70</v>
      </c>
      <c r="H5" s="0" t="n">
        <v>88</v>
      </c>
      <c r="I5" s="0" t="inlineStr"/>
      <c r="J5" s="0" t="inlineStr">
        <is>
          <t>кластер: Ошибки / Проблемы новичка</t>
        </is>
      </c>
    </row>
    <row r="6">
      <c r="A6" s="0" t="inlineStr">
        <is>
          <t>22</t>
        </is>
      </c>
      <c r="B6" s="0" t="n">
        <v>90</v>
      </c>
      <c r="C6" s="0" t="n">
        <v>100</v>
      </c>
      <c r="D6" s="0" t="n">
        <v>95</v>
      </c>
      <c r="E6" s="0" t="n">
        <v>100</v>
      </c>
      <c r="F6" s="0" t="n">
        <v>75</v>
      </c>
      <c r="G6" s="0" t="n">
        <v>70</v>
      </c>
      <c r="H6" s="0" t="n">
        <v>88</v>
      </c>
      <c r="I6" s="0" t="inlineStr"/>
      <c r="J6" s="0" t="inlineStr">
        <is>
          <t>кластер: Материалы / Флюсы</t>
        </is>
      </c>
    </row>
    <row r="7">
      <c r="A7" s="0" t="inlineStr">
        <is>
          <t>29</t>
        </is>
      </c>
      <c r="B7" s="0" t="n">
        <v>87</v>
      </c>
      <c r="C7" s="0" t="n">
        <v>100</v>
      </c>
      <c r="D7" s="0" t="n">
        <v>95</v>
      </c>
      <c r="E7" s="0" t="n">
        <v>85</v>
      </c>
      <c r="F7" s="0" t="n">
        <v>75</v>
      </c>
      <c r="G7" s="0" t="n">
        <v>70</v>
      </c>
      <c r="H7" s="0" t="n">
        <v>88</v>
      </c>
      <c r="I7" s="0" t="inlineStr"/>
      <c r="J7" s="0" t="inlineStr">
        <is>
          <t>кластер: Ошибки / Проблемы новичка</t>
        </is>
      </c>
    </row>
    <row r="8">
      <c r="A8" s="0" t="inlineStr">
        <is>
          <t>11</t>
        </is>
      </c>
      <c r="B8" s="0" t="n">
        <v>88</v>
      </c>
      <c r="C8" s="0" t="n">
        <v>100</v>
      </c>
      <c r="D8" s="0" t="n">
        <v>95</v>
      </c>
      <c r="E8" s="0" t="n">
        <v>70</v>
      </c>
      <c r="F8" s="0" t="n">
        <v>88</v>
      </c>
      <c r="G8" s="0" t="n">
        <v>70</v>
      </c>
      <c r="H8" s="0" t="n">
        <v>100</v>
      </c>
      <c r="I8" s="0" t="inlineStr"/>
      <c r="J8" s="0" t="inlineStr">
        <is>
          <t>кластер: Инструменты / Рейтинг паяльников</t>
        </is>
      </c>
    </row>
    <row r="9">
      <c r="A9" s="0" t="inlineStr">
        <is>
          <t>17</t>
        </is>
      </c>
      <c r="B9" s="0" t="n">
        <v>82</v>
      </c>
      <c r="C9" s="0" t="n">
        <v>100</v>
      </c>
      <c r="D9" s="0" t="n">
        <v>95</v>
      </c>
      <c r="E9" s="0" t="n">
        <v>85</v>
      </c>
      <c r="F9" s="0" t="n">
        <v>60</v>
      </c>
      <c r="G9" s="0" t="n">
        <v>40</v>
      </c>
      <c r="H9" s="0" t="n">
        <v>100</v>
      </c>
      <c r="I9" s="0" t="inlineStr"/>
      <c r="J9" s="0" t="inlineStr">
        <is>
          <t>кластер: Материалы / Припои</t>
        </is>
      </c>
    </row>
    <row r="10">
      <c r="A10" s="0" t="inlineStr">
        <is>
          <t>18</t>
        </is>
      </c>
      <c r="B10" s="0" t="n">
        <v>86</v>
      </c>
      <c r="C10" s="0" t="n">
        <v>100</v>
      </c>
      <c r="D10" s="0" t="n">
        <v>95</v>
      </c>
      <c r="E10" s="0" t="n">
        <v>85</v>
      </c>
      <c r="F10" s="0" t="n">
        <v>60</v>
      </c>
      <c r="G10" s="0" t="n">
        <v>70</v>
      </c>
      <c r="H10" s="0" t="n">
        <v>100</v>
      </c>
      <c r="I10" s="0" t="inlineStr"/>
      <c r="J10" s="0" t="inlineStr">
        <is>
          <t>кластер: Материалы / Припои</t>
        </is>
      </c>
    </row>
    <row r="11">
      <c r="A11" s="0" t="inlineStr">
        <is>
          <t>6</t>
        </is>
      </c>
      <c r="B11" s="0" t="n">
        <v>96</v>
      </c>
      <c r="C11" s="0" t="n">
        <v>100</v>
      </c>
      <c r="D11" s="0" t="n">
        <v>95</v>
      </c>
      <c r="E11" s="0" t="n">
        <v>85</v>
      </c>
      <c r="F11" s="0" t="n">
        <v>100</v>
      </c>
      <c r="G11" s="0" t="n">
        <v>100</v>
      </c>
      <c r="H11" s="0" t="n">
        <v>88</v>
      </c>
      <c r="I11" s="0" t="inlineStr"/>
      <c r="J11" s="0" t="inlineStr">
        <is>
          <t>кластер: Инструменты / Выбор паяльника</t>
        </is>
      </c>
    </row>
    <row r="12">
      <c r="A12" s="0" t="inlineStr">
        <is>
          <t>7</t>
        </is>
      </c>
      <c r="B12" s="0" t="n">
        <v>87</v>
      </c>
      <c r="C12" s="0" t="n">
        <v>100</v>
      </c>
      <c r="D12" s="0" t="n">
        <v>95</v>
      </c>
      <c r="E12" s="0" t="n">
        <v>85</v>
      </c>
      <c r="F12" s="0" t="n">
        <v>75</v>
      </c>
      <c r="G12" s="0" t="n">
        <v>70</v>
      </c>
      <c r="H12" s="0" t="n">
        <v>88</v>
      </c>
      <c r="I12" s="0" t="inlineStr"/>
      <c r="J12" s="0" t="inlineStr">
        <is>
          <t>кластер: Инструменты / Выбор паяльника</t>
        </is>
      </c>
    </row>
    <row r="13">
      <c r="A13" s="0" t="inlineStr">
        <is>
          <t>8</t>
        </is>
      </c>
      <c r="B13" s="0" t="n">
        <v>87</v>
      </c>
      <c r="C13" s="0" t="n">
        <v>100</v>
      </c>
      <c r="D13" s="0" t="n">
        <v>95</v>
      </c>
      <c r="E13" s="0" t="n">
        <v>85</v>
      </c>
      <c r="F13" s="0" t="n">
        <v>75</v>
      </c>
      <c r="G13" s="0" t="n">
        <v>70</v>
      </c>
      <c r="H13" s="0" t="n">
        <v>88</v>
      </c>
      <c r="I13" s="0" t="inlineStr"/>
      <c r="J13" s="0" t="inlineStr">
        <is>
          <t>кластер: Инструменты / Выбор паяльника</t>
        </is>
      </c>
    </row>
    <row r="14">
      <c r="A14" s="0" t="inlineStr">
        <is>
          <t>21</t>
        </is>
      </c>
      <c r="B14" s="0" t="n">
        <v>87</v>
      </c>
      <c r="C14" s="0" t="n">
        <v>100</v>
      </c>
      <c r="D14" s="0" t="n">
        <v>95</v>
      </c>
      <c r="E14" s="0" t="n">
        <v>100</v>
      </c>
      <c r="F14" s="0" t="n">
        <v>60</v>
      </c>
      <c r="G14" s="0" t="n">
        <v>70</v>
      </c>
      <c r="H14" s="0" t="n">
        <v>88</v>
      </c>
      <c r="I14" s="0" t="inlineStr"/>
      <c r="J14" s="0" t="inlineStr">
        <is>
          <t>кластер: Материалы / Флюсы</t>
        </is>
      </c>
    </row>
    <row r="15">
      <c r="A15" s="0" t="inlineStr">
        <is>
          <t>23</t>
        </is>
      </c>
      <c r="B15" s="0" t="n">
        <v>87</v>
      </c>
      <c r="C15" s="0" t="n">
        <v>100</v>
      </c>
      <c r="D15" s="0" t="n">
        <v>95</v>
      </c>
      <c r="E15" s="0" t="n">
        <v>100</v>
      </c>
      <c r="F15" s="0" t="n">
        <v>60</v>
      </c>
      <c r="G15" s="0" t="n">
        <v>70</v>
      </c>
      <c r="H15" s="0" t="n">
        <v>88</v>
      </c>
      <c r="I15" s="0" t="inlineStr"/>
      <c r="J15" s="0" t="inlineStr">
        <is>
          <t>кластер: Материалы / Флюсы</t>
        </is>
      </c>
    </row>
    <row r="16">
      <c r="A16" s="0" t="inlineStr">
        <is>
          <t>26</t>
        </is>
      </c>
      <c r="B16" s="0" t="n">
        <v>85</v>
      </c>
      <c r="C16" s="0" t="n">
        <v>100</v>
      </c>
      <c r="D16" s="0" t="n">
        <v>95</v>
      </c>
      <c r="E16" s="0" t="n">
        <v>85</v>
      </c>
      <c r="F16" s="0" t="n">
        <v>60</v>
      </c>
      <c r="G16" s="0" t="n">
        <v>70</v>
      </c>
      <c r="H16" s="0" t="n">
        <v>88</v>
      </c>
      <c r="I16" s="0" t="inlineStr"/>
      <c r="J16" s="0" t="inlineStr">
        <is>
          <t>кластер: Ошибки / Проблемы новичка</t>
        </is>
      </c>
    </row>
    <row r="17">
      <c r="A17" s="0" t="inlineStr">
        <is>
          <t>27</t>
        </is>
      </c>
      <c r="B17" s="0" t="n">
        <v>85</v>
      </c>
      <c r="C17" s="0" t="n">
        <v>100</v>
      </c>
      <c r="D17" s="0" t="n">
        <v>95</v>
      </c>
      <c r="E17" s="0" t="n">
        <v>85</v>
      </c>
      <c r="F17" s="0" t="n">
        <v>60</v>
      </c>
      <c r="G17" s="0" t="n">
        <v>70</v>
      </c>
      <c r="H17" s="0" t="n">
        <v>88</v>
      </c>
      <c r="I17" s="0" t="inlineStr"/>
      <c r="J17" s="0" t="inlineStr">
        <is>
          <t>кластер: Ошибки / Проблемы новичка</t>
        </is>
      </c>
    </row>
    <row r="18">
      <c r="A18" s="0" t="inlineStr">
        <is>
          <t>28</t>
        </is>
      </c>
      <c r="B18" s="0" t="n">
        <v>85</v>
      </c>
      <c r="C18" s="0" t="n">
        <v>100</v>
      </c>
      <c r="D18" s="0" t="n">
        <v>95</v>
      </c>
      <c r="E18" s="0" t="n">
        <v>85</v>
      </c>
      <c r="F18" s="0" t="n">
        <v>60</v>
      </c>
      <c r="G18" s="0" t="n">
        <v>70</v>
      </c>
      <c r="H18" s="0" t="n">
        <v>88</v>
      </c>
      <c r="I18" s="0" t="inlineStr"/>
      <c r="J18" s="0" t="inlineStr">
        <is>
          <t>кластер: Ошибки / Проблемы новичка</t>
        </is>
      </c>
    </row>
    <row r="19">
      <c r="A19" s="0" t="inlineStr">
        <is>
          <t>19</t>
        </is>
      </c>
      <c r="B19" s="0" t="n">
        <v>84</v>
      </c>
      <c r="C19" s="0" t="n">
        <v>100</v>
      </c>
      <c r="D19" s="0" t="n">
        <v>95</v>
      </c>
      <c r="E19" s="0" t="n">
        <v>85</v>
      </c>
      <c r="F19" s="0" t="n">
        <v>42</v>
      </c>
      <c r="G19" s="0" t="n">
        <v>70</v>
      </c>
      <c r="H19" s="0" t="n">
        <v>100</v>
      </c>
      <c r="I19" s="0" t="inlineStr"/>
      <c r="J19" s="0" t="inlineStr">
        <is>
          <t>кластер: Материалы / Припои</t>
        </is>
      </c>
    </row>
    <row r="20">
      <c r="A20" s="0" t="inlineStr">
        <is>
          <t>24</t>
        </is>
      </c>
      <c r="B20" s="0" t="n">
        <v>85</v>
      </c>
      <c r="C20" s="0" t="n">
        <v>100</v>
      </c>
      <c r="D20" s="0" t="n">
        <v>95</v>
      </c>
      <c r="E20" s="0" t="n">
        <v>100</v>
      </c>
      <c r="F20" s="0" t="n">
        <v>42</v>
      </c>
      <c r="G20" s="0" t="n">
        <v>70</v>
      </c>
      <c r="H20" s="0" t="n">
        <v>88</v>
      </c>
      <c r="I20" s="0" t="inlineStr"/>
      <c r="J20" s="0" t="inlineStr">
        <is>
          <t>кластер: Материалы / Флюсы</t>
        </is>
      </c>
    </row>
    <row r="21">
      <c r="A21" s="0" t="inlineStr">
        <is>
          <t>51</t>
        </is>
      </c>
      <c r="B21" s="0" t="n">
        <v>85</v>
      </c>
      <c r="C21" s="0" t="n">
        <v>100</v>
      </c>
      <c r="D21" s="0" t="n">
        <v>95</v>
      </c>
      <c r="E21" s="0" t="n">
        <v>70</v>
      </c>
      <c r="F21" s="0" t="n">
        <v>75</v>
      </c>
      <c r="G21" s="0" t="n">
        <v>70</v>
      </c>
      <c r="H21" s="0" t="n">
        <v>88</v>
      </c>
      <c r="I21" s="0" t="inlineStr"/>
      <c r="J21" s="0" t="inlineStr">
        <is>
          <t>кластер: BGA и Реболлинг</t>
        </is>
      </c>
    </row>
    <row r="22">
      <c r="A22" s="0" t="inlineStr">
        <is>
          <t>1</t>
        </is>
      </c>
      <c r="B22" s="0" t="n">
        <v>93</v>
      </c>
      <c r="C22" s="0" t="n">
        <v>100</v>
      </c>
      <c r="D22" s="0" t="n">
        <v>95</v>
      </c>
      <c r="E22" s="0" t="n">
        <v>70</v>
      </c>
      <c r="F22" s="0" t="n">
        <v>100</v>
      </c>
      <c r="G22" s="0" t="n">
        <v>100</v>
      </c>
      <c r="H22" s="0" t="n">
        <v>88</v>
      </c>
      <c r="I22" s="0" t="inlineStr"/>
      <c r="J22" s="0" t="inlineStr">
        <is>
          <t>кластер: Основы пайки / Как паять</t>
        </is>
      </c>
    </row>
    <row r="23">
      <c r="A23" s="0" t="inlineStr">
        <is>
          <t>12</t>
        </is>
      </c>
      <c r="B23" s="0" t="n">
        <v>84</v>
      </c>
      <c r="C23" s="0" t="n">
        <v>100</v>
      </c>
      <c r="D23" s="0" t="n">
        <v>95</v>
      </c>
      <c r="E23" s="0" t="n">
        <v>70</v>
      </c>
      <c r="F23" s="0" t="n">
        <v>60</v>
      </c>
      <c r="G23" s="0" t="n">
        <v>70</v>
      </c>
      <c r="H23" s="0" t="n">
        <v>100</v>
      </c>
      <c r="I23" s="0" t="inlineStr"/>
      <c r="J23" s="0" t="inlineStr">
        <is>
          <t>кластер: Инструменты / Рейтинг паяльников</t>
        </is>
      </c>
    </row>
    <row r="24">
      <c r="A24" s="0" t="inlineStr">
        <is>
          <t>13</t>
        </is>
      </c>
      <c r="B24" s="0" t="n">
        <v>84</v>
      </c>
      <c r="C24" s="0" t="n">
        <v>100</v>
      </c>
      <c r="D24" s="0" t="n">
        <v>95</v>
      </c>
      <c r="E24" s="0" t="n">
        <v>70</v>
      </c>
      <c r="F24" s="0" t="n">
        <v>60</v>
      </c>
      <c r="G24" s="0" t="n">
        <v>70</v>
      </c>
      <c r="H24" s="0" t="n">
        <v>100</v>
      </c>
      <c r="I24" s="0" t="inlineStr"/>
      <c r="J24" s="0" t="inlineStr">
        <is>
          <t>кластер: Инструменты / Рейтинг паяльников</t>
        </is>
      </c>
    </row>
    <row r="25">
      <c r="A25" s="0" t="inlineStr">
        <is>
          <t>46</t>
        </is>
      </c>
      <c r="B25" s="0" t="n">
        <v>84</v>
      </c>
      <c r="C25" s="0" t="n">
        <v>100</v>
      </c>
      <c r="D25" s="0" t="n">
        <v>95</v>
      </c>
      <c r="E25" s="0" t="n">
        <v>85</v>
      </c>
      <c r="F25" s="0" t="n">
        <v>75</v>
      </c>
      <c r="G25" s="0" t="n">
        <v>70</v>
      </c>
      <c r="H25" s="0" t="n">
        <v>50</v>
      </c>
      <c r="I25" s="0" t="inlineStr"/>
      <c r="J25" s="0" t="inlineStr">
        <is>
          <t>кластер: Организация рабочего места</t>
        </is>
      </c>
    </row>
    <row r="26">
      <c r="A26" s="0" t="inlineStr">
        <is>
          <t>47</t>
        </is>
      </c>
      <c r="B26" s="0" t="n">
        <v>84</v>
      </c>
      <c r="C26" s="0" t="n">
        <v>100</v>
      </c>
      <c r="D26" s="0" t="n">
        <v>95</v>
      </c>
      <c r="E26" s="0" t="n">
        <v>85</v>
      </c>
      <c r="F26" s="0" t="n">
        <v>75</v>
      </c>
      <c r="G26" s="0" t="n">
        <v>70</v>
      </c>
      <c r="H26" s="0" t="n">
        <v>50</v>
      </c>
      <c r="I26" s="0" t="inlineStr"/>
      <c r="J26" s="0" t="inlineStr">
        <is>
          <t>кластер: Организация рабочего места</t>
        </is>
      </c>
    </row>
    <row r="27">
      <c r="A27" s="0" t="inlineStr">
        <is>
          <t>52</t>
        </is>
      </c>
      <c r="B27" s="0" t="n">
        <v>79</v>
      </c>
      <c r="C27" s="0" t="n">
        <v>100</v>
      </c>
      <c r="D27" s="0" t="n">
        <v>70</v>
      </c>
      <c r="E27" s="0" t="n">
        <v>100</v>
      </c>
      <c r="F27" s="0" t="n">
        <v>88</v>
      </c>
      <c r="G27" s="0" t="n">
        <v>40</v>
      </c>
      <c r="H27" s="0" t="n">
        <v>62</v>
      </c>
      <c r="I27" s="0" t="inlineStr"/>
      <c r="J27" s="0" t="inlineStr">
        <is>
          <t>кластер: Паяльные пасты и химия</t>
        </is>
      </c>
    </row>
    <row r="28">
      <c r="A28" s="0" t="inlineStr">
        <is>
          <t>56</t>
        </is>
      </c>
      <c r="B28" s="0" t="n">
        <v>83</v>
      </c>
      <c r="C28" s="0" t="n">
        <v>100</v>
      </c>
      <c r="D28" s="0" t="n">
        <v>95</v>
      </c>
      <c r="E28" s="0" t="n">
        <v>70</v>
      </c>
      <c r="F28" s="0" t="n">
        <v>60</v>
      </c>
      <c r="G28" s="0" t="n">
        <v>70</v>
      </c>
      <c r="H28" s="0" t="n">
        <v>88</v>
      </c>
      <c r="I28" s="0" t="inlineStr"/>
      <c r="J28" s="0" t="inlineStr">
        <is>
          <t>кластер: BGA и Реболлинг</t>
        </is>
      </c>
    </row>
    <row r="29">
      <c r="A29" s="0" t="inlineStr">
        <is>
          <t>59</t>
        </is>
      </c>
      <c r="B29" s="0" t="n">
        <v>83</v>
      </c>
      <c r="C29" s="0" t="n">
        <v>100</v>
      </c>
      <c r="D29" s="0" t="n">
        <v>95</v>
      </c>
      <c r="E29" s="0" t="n">
        <v>70</v>
      </c>
      <c r="F29" s="0" t="n">
        <v>60</v>
      </c>
      <c r="G29" s="0" t="n">
        <v>70</v>
      </c>
      <c r="H29" s="0" t="n">
        <v>88</v>
      </c>
      <c r="I29" s="0" t="inlineStr"/>
      <c r="J29" s="0" t="inlineStr">
        <is>
          <t>кластер: BGA и Реболлинг</t>
        </is>
      </c>
    </row>
    <row r="30">
      <c r="A30" s="0" t="inlineStr">
        <is>
          <t>9</t>
        </is>
      </c>
      <c r="B30" s="0" t="n">
        <v>82</v>
      </c>
      <c r="C30" s="0" t="n">
        <v>100</v>
      </c>
      <c r="D30" s="0" t="n">
        <v>95</v>
      </c>
      <c r="E30" s="0" t="n">
        <v>85</v>
      </c>
      <c r="F30" s="0" t="n">
        <v>42</v>
      </c>
      <c r="G30" s="0" t="n">
        <v>70</v>
      </c>
      <c r="H30" s="0" t="n">
        <v>88</v>
      </c>
      <c r="I30" s="0" t="inlineStr"/>
      <c r="J30" s="0" t="inlineStr">
        <is>
          <t>кластер: Инструменты / Выбор паяльника</t>
        </is>
      </c>
    </row>
    <row r="31">
      <c r="A31" s="0" t="inlineStr">
        <is>
          <t>10</t>
        </is>
      </c>
      <c r="B31" s="0" t="n">
        <v>82</v>
      </c>
      <c r="C31" s="0" t="n">
        <v>100</v>
      </c>
      <c r="D31" s="0" t="n">
        <v>95</v>
      </c>
      <c r="E31" s="0" t="n">
        <v>85</v>
      </c>
      <c r="F31" s="0" t="n">
        <v>42</v>
      </c>
      <c r="G31" s="0" t="n">
        <v>70</v>
      </c>
      <c r="H31" s="0" t="n">
        <v>88</v>
      </c>
      <c r="I31" s="0" t="inlineStr"/>
      <c r="J31" s="0" t="inlineStr">
        <is>
          <t>кластер: Инструменты / Выбор паяльника</t>
        </is>
      </c>
    </row>
    <row r="32">
      <c r="A32" s="0" t="inlineStr">
        <is>
          <t>2</t>
        </is>
      </c>
      <c r="B32" s="0" t="n">
        <v>90</v>
      </c>
      <c r="C32" s="0" t="n">
        <v>100</v>
      </c>
      <c r="D32" s="0" t="n">
        <v>95</v>
      </c>
      <c r="E32" s="0" t="n">
        <v>70</v>
      </c>
      <c r="F32" s="0" t="n">
        <v>75</v>
      </c>
      <c r="G32" s="0" t="n">
        <v>100</v>
      </c>
      <c r="H32" s="0" t="n">
        <v>88</v>
      </c>
      <c r="I32" s="0" t="inlineStr"/>
      <c r="J32" s="0" t="inlineStr">
        <is>
          <t>кластер: Основы пайки / Как паять</t>
        </is>
      </c>
    </row>
    <row r="33">
      <c r="A33" s="0" t="inlineStr">
        <is>
          <t>3</t>
        </is>
      </c>
      <c r="B33" s="0" t="n">
        <v>90</v>
      </c>
      <c r="C33" s="0" t="n">
        <v>100</v>
      </c>
      <c r="D33" s="0" t="n">
        <v>95</v>
      </c>
      <c r="E33" s="0" t="n">
        <v>70</v>
      </c>
      <c r="F33" s="0" t="n">
        <v>75</v>
      </c>
      <c r="G33" s="0" t="n">
        <v>100</v>
      </c>
      <c r="H33" s="0" t="n">
        <v>88</v>
      </c>
      <c r="I33" s="0" t="inlineStr"/>
      <c r="J33" s="0" t="inlineStr">
        <is>
          <t>кластер: Основы пайки / Как паять</t>
        </is>
      </c>
    </row>
    <row r="34">
      <c r="A34" s="0" t="inlineStr">
        <is>
          <t>14</t>
        </is>
      </c>
      <c r="B34" s="0" t="n">
        <v>81</v>
      </c>
      <c r="C34" s="0" t="n">
        <v>100</v>
      </c>
      <c r="D34" s="0" t="n">
        <v>95</v>
      </c>
      <c r="E34" s="0" t="n">
        <v>70</v>
      </c>
      <c r="F34" s="0" t="n">
        <v>42</v>
      </c>
      <c r="G34" s="0" t="n">
        <v>70</v>
      </c>
      <c r="H34" s="0" t="n">
        <v>100</v>
      </c>
      <c r="I34" s="0" t="inlineStr"/>
      <c r="J34" s="0" t="inlineStr">
        <is>
          <t>кластер: Инструменты / Рейтинг паяльников</t>
        </is>
      </c>
    </row>
    <row r="35">
      <c r="A35" s="0" t="inlineStr">
        <is>
          <t>5</t>
        </is>
      </c>
      <c r="B35" s="0" t="n">
        <v>80</v>
      </c>
      <c r="C35" s="0" t="n">
        <v>100</v>
      </c>
      <c r="D35" s="0" t="n">
        <v>95</v>
      </c>
      <c r="E35" s="0" t="n">
        <v>70</v>
      </c>
      <c r="F35" s="0" t="n">
        <v>42</v>
      </c>
      <c r="G35" s="0" t="n">
        <v>70</v>
      </c>
      <c r="H35" s="0" t="n">
        <v>88</v>
      </c>
      <c r="I35" s="0" t="inlineStr"/>
      <c r="J35" s="0" t="inlineStr">
        <is>
          <t>кластер: Основы пайки / Как паять</t>
        </is>
      </c>
    </row>
    <row r="36">
      <c r="A36" s="0" t="inlineStr">
        <is>
          <t>30</t>
        </is>
      </c>
      <c r="B36" s="0" t="n">
        <v>80</v>
      </c>
      <c r="C36" s="0" t="n">
        <v>65</v>
      </c>
      <c r="D36" s="0" t="n">
        <v>95</v>
      </c>
      <c r="E36" s="0" t="n">
        <v>70</v>
      </c>
      <c r="F36" s="0" t="n">
        <v>100</v>
      </c>
      <c r="G36" s="0" t="n">
        <v>70</v>
      </c>
      <c r="H36" s="0" t="n">
        <v>88</v>
      </c>
      <c r="I36" s="0" t="inlineStr"/>
      <c r="J36" s="0" t="inlineStr">
        <is>
          <t>кластер: Типы монтажа / SMD</t>
        </is>
      </c>
    </row>
    <row r="37">
      <c r="A37" s="0" t="inlineStr">
        <is>
          <t>41</t>
        </is>
      </c>
      <c r="B37" s="0" t="n">
        <v>80</v>
      </c>
      <c r="C37" s="0" t="n">
        <v>65</v>
      </c>
      <c r="D37" s="0" t="n">
        <v>95</v>
      </c>
      <c r="E37" s="0" t="n">
        <v>85</v>
      </c>
      <c r="F37" s="0" t="n">
        <v>88</v>
      </c>
      <c r="G37" s="0" t="n">
        <v>70</v>
      </c>
      <c r="H37" s="0" t="n">
        <v>88</v>
      </c>
      <c r="I37" s="0" t="inlineStr"/>
      <c r="J37" s="0" t="inlineStr">
        <is>
          <t>кластер: Инструменты / Жала</t>
        </is>
      </c>
    </row>
    <row r="38">
      <c r="A38" s="0" t="inlineStr">
        <is>
          <t>42</t>
        </is>
      </c>
      <c r="B38" s="0" t="n">
        <v>80</v>
      </c>
      <c r="C38" s="0" t="n">
        <v>65</v>
      </c>
      <c r="D38" s="0" t="n">
        <v>95</v>
      </c>
      <c r="E38" s="0" t="n">
        <v>85</v>
      </c>
      <c r="F38" s="0" t="n">
        <v>88</v>
      </c>
      <c r="G38" s="0" t="n">
        <v>70</v>
      </c>
      <c r="H38" s="0" t="n">
        <v>88</v>
      </c>
      <c r="I38" s="0" t="inlineStr"/>
      <c r="J38" s="0" t="inlineStr">
        <is>
          <t>кластер: Инструменты / Жала</t>
        </is>
      </c>
    </row>
    <row r="39">
      <c r="A39" s="0" t="inlineStr">
        <is>
          <t>55</t>
        </is>
      </c>
      <c r="B39" s="0" t="n">
        <v>80</v>
      </c>
      <c r="C39" s="0" t="n">
        <v>100</v>
      </c>
      <c r="D39" s="0" t="n">
        <v>70</v>
      </c>
      <c r="E39" s="0" t="n">
        <v>100</v>
      </c>
      <c r="F39" s="0" t="n">
        <v>60</v>
      </c>
      <c r="G39" s="0" t="n">
        <v>70</v>
      </c>
      <c r="H39" s="0" t="n">
        <v>62</v>
      </c>
      <c r="I39" s="0" t="inlineStr"/>
      <c r="J39" s="0" t="inlineStr">
        <is>
          <t>кластер: Паяльные пасты и химия</t>
        </is>
      </c>
    </row>
    <row r="40">
      <c r="A40" s="0" t="inlineStr">
        <is>
          <t>54</t>
        </is>
      </c>
      <c r="B40" s="0" t="n">
        <v>79</v>
      </c>
      <c r="C40" s="0" t="n">
        <v>100</v>
      </c>
      <c r="D40" s="0" t="n">
        <v>50</v>
      </c>
      <c r="E40" s="0" t="n">
        <v>85</v>
      </c>
      <c r="F40" s="0" t="n">
        <v>88</v>
      </c>
      <c r="G40" s="0" t="n">
        <v>70</v>
      </c>
      <c r="H40" s="0" t="n">
        <v>75</v>
      </c>
      <c r="I40" s="0" t="inlineStr"/>
      <c r="J40" s="0" t="inlineStr">
        <is>
          <t>кластер: Смарт-паяльники Type-C</t>
        </is>
      </c>
    </row>
    <row r="41">
      <c r="A41" s="0" t="inlineStr">
        <is>
          <t>43</t>
        </is>
      </c>
      <c r="B41" s="0" t="n">
        <v>78</v>
      </c>
      <c r="C41" s="0" t="n">
        <v>65</v>
      </c>
      <c r="D41" s="0" t="n">
        <v>95</v>
      </c>
      <c r="E41" s="0" t="n">
        <v>85</v>
      </c>
      <c r="F41" s="0" t="n">
        <v>88</v>
      </c>
      <c r="G41" s="0" t="n">
        <v>70</v>
      </c>
      <c r="H41" s="0" t="n">
        <v>62</v>
      </c>
      <c r="I41" s="0" t="inlineStr"/>
      <c r="J41" s="0" t="inlineStr">
        <is>
          <t>кластер: Безопасность</t>
        </is>
      </c>
    </row>
    <row r="42">
      <c r="A42" s="0" t="inlineStr">
        <is>
          <t>4</t>
        </is>
      </c>
      <c r="B42" s="0" t="n">
        <v>85</v>
      </c>
      <c r="C42" s="0" t="n">
        <v>100</v>
      </c>
      <c r="D42" s="0" t="n">
        <v>95</v>
      </c>
      <c r="E42" s="0" t="n">
        <v>70</v>
      </c>
      <c r="F42" s="0" t="n">
        <v>42</v>
      </c>
      <c r="G42" s="0" t="n">
        <v>100</v>
      </c>
      <c r="H42" s="0" t="n">
        <v>88</v>
      </c>
      <c r="I42" s="0" t="inlineStr"/>
      <c r="J42" s="0" t="inlineStr">
        <is>
          <t>кластер: Основы пайки / Как паять</t>
        </is>
      </c>
    </row>
    <row r="43">
      <c r="A43" s="0" t="inlineStr">
        <is>
          <t>45</t>
        </is>
      </c>
      <c r="B43" s="0" t="n">
        <v>76</v>
      </c>
      <c r="C43" s="0" t="n">
        <v>65</v>
      </c>
      <c r="D43" s="0" t="n">
        <v>95</v>
      </c>
      <c r="E43" s="0" t="n">
        <v>85</v>
      </c>
      <c r="F43" s="0" t="n">
        <v>75</v>
      </c>
      <c r="G43" s="0" t="n">
        <v>70</v>
      </c>
      <c r="H43" s="0" t="n">
        <v>62</v>
      </c>
      <c r="I43" s="0" t="inlineStr"/>
      <c r="J43" s="0" t="inlineStr">
        <is>
          <t>кластер: Безопасность</t>
        </is>
      </c>
    </row>
    <row r="44">
      <c r="A44" s="0" t="inlineStr">
        <is>
          <t>34</t>
        </is>
      </c>
      <c r="B44" s="0" t="n">
        <v>75</v>
      </c>
      <c r="C44" s="0" t="n">
        <v>65</v>
      </c>
      <c r="D44" s="0" t="n">
        <v>95</v>
      </c>
      <c r="E44" s="0" t="n">
        <v>70</v>
      </c>
      <c r="F44" s="0" t="n">
        <v>75</v>
      </c>
      <c r="G44" s="0" t="n">
        <v>70</v>
      </c>
      <c r="H44" s="0" t="n">
        <v>75</v>
      </c>
      <c r="I44" s="0" t="inlineStr"/>
      <c r="J44" s="0" t="inlineStr">
        <is>
          <t>кластер: Ремонт электроники</t>
        </is>
      </c>
    </row>
    <row r="45">
      <c r="A45" s="0" t="inlineStr">
        <is>
          <t>57</t>
        </is>
      </c>
      <c r="B45" s="0" t="n">
        <v>75</v>
      </c>
      <c r="C45" s="0" t="n">
        <v>100</v>
      </c>
      <c r="D45" s="0" t="n">
        <v>50</v>
      </c>
      <c r="E45" s="0" t="n">
        <v>85</v>
      </c>
      <c r="F45" s="0" t="n">
        <v>60</v>
      </c>
      <c r="G45" s="0" t="n">
        <v>70</v>
      </c>
      <c r="H45" s="0" t="n">
        <v>75</v>
      </c>
      <c r="I45" s="0" t="inlineStr"/>
      <c r="J45" s="0" t="inlineStr">
        <is>
          <t>кластер: Смарт-паяльники Type-C</t>
        </is>
      </c>
    </row>
    <row r="46">
      <c r="A46" s="0" t="inlineStr">
        <is>
          <t>60</t>
        </is>
      </c>
      <c r="B46" s="0" t="n">
        <v>75</v>
      </c>
      <c r="C46" s="0" t="n">
        <v>100</v>
      </c>
      <c r="D46" s="0" t="n">
        <v>50</v>
      </c>
      <c r="E46" s="0" t="n">
        <v>85</v>
      </c>
      <c r="F46" s="0" t="n">
        <v>60</v>
      </c>
      <c r="G46" s="0" t="n">
        <v>70</v>
      </c>
      <c r="H46" s="0" t="n">
        <v>75</v>
      </c>
      <c r="I46" s="0" t="inlineStr"/>
      <c r="J46" s="0" t="inlineStr">
        <is>
          <t>кластер: Смарт-паяльники Type-C</t>
        </is>
      </c>
    </row>
    <row r="47">
      <c r="A47" s="0" t="inlineStr">
        <is>
          <t>32</t>
        </is>
      </c>
      <c r="B47" s="0" t="n">
        <v>74</v>
      </c>
      <c r="C47" s="0" t="n">
        <v>65</v>
      </c>
      <c r="D47" s="0" t="n">
        <v>95</v>
      </c>
      <c r="E47" s="0" t="n">
        <v>70</v>
      </c>
      <c r="F47" s="0" t="n">
        <v>60</v>
      </c>
      <c r="G47" s="0" t="n">
        <v>70</v>
      </c>
      <c r="H47" s="0" t="n">
        <v>88</v>
      </c>
      <c r="I47" s="0" t="inlineStr"/>
      <c r="J47" s="0" t="inlineStr">
        <is>
          <t>кластер: Типы монтажа / SMD</t>
        </is>
      </c>
    </row>
    <row r="48">
      <c r="A48" s="0" t="inlineStr">
        <is>
          <t>33</t>
        </is>
      </c>
      <c r="B48" s="0" t="n">
        <v>74</v>
      </c>
      <c r="C48" s="0" t="n">
        <v>65</v>
      </c>
      <c r="D48" s="0" t="n">
        <v>95</v>
      </c>
      <c r="E48" s="0" t="n">
        <v>70</v>
      </c>
      <c r="F48" s="0" t="n">
        <v>60</v>
      </c>
      <c r="G48" s="0" t="n">
        <v>70</v>
      </c>
      <c r="H48" s="0" t="n">
        <v>88</v>
      </c>
      <c r="I48" s="0" t="inlineStr"/>
      <c r="J48" s="0" t="inlineStr">
        <is>
          <t>кластер: Типы монтажа / SMD</t>
        </is>
      </c>
    </row>
    <row r="49">
      <c r="A49" s="0" t="inlineStr">
        <is>
          <t>44</t>
        </is>
      </c>
      <c r="B49" s="0" t="n">
        <v>74</v>
      </c>
      <c r="C49" s="0" t="n">
        <v>65</v>
      </c>
      <c r="D49" s="0" t="n">
        <v>95</v>
      </c>
      <c r="E49" s="0" t="n">
        <v>85</v>
      </c>
      <c r="F49" s="0" t="n">
        <v>60</v>
      </c>
      <c r="G49" s="0" t="n">
        <v>70</v>
      </c>
      <c r="H49" s="0" t="n">
        <v>62</v>
      </c>
      <c r="I49" s="0" t="inlineStr"/>
      <c r="J49" s="0" t="inlineStr">
        <is>
          <t>кластер: Безопасность</t>
        </is>
      </c>
    </row>
    <row r="50">
      <c r="A50" s="0" t="inlineStr">
        <is>
          <t>58</t>
        </is>
      </c>
      <c r="B50" s="0" t="n">
        <v>74</v>
      </c>
      <c r="C50" s="0" t="n">
        <v>65</v>
      </c>
      <c r="D50" s="0" t="n">
        <v>95</v>
      </c>
      <c r="E50" s="0" t="n">
        <v>70</v>
      </c>
      <c r="F50" s="0" t="n">
        <v>60</v>
      </c>
      <c r="G50" s="0" t="n">
        <v>70</v>
      </c>
      <c r="H50" s="0" t="n">
        <v>88</v>
      </c>
      <c r="I50" s="0" t="inlineStr"/>
      <c r="J50" s="0" t="inlineStr">
        <is>
          <t>кластер: Типы монтажа / SMD</t>
        </is>
      </c>
    </row>
    <row r="51">
      <c r="A51" s="0" t="inlineStr">
        <is>
          <t>35</t>
        </is>
      </c>
      <c r="B51" s="0" t="n">
        <v>73</v>
      </c>
      <c r="C51" s="0" t="n">
        <v>65</v>
      </c>
      <c r="D51" s="0" t="n">
        <v>95</v>
      </c>
      <c r="E51" s="0" t="n">
        <v>70</v>
      </c>
      <c r="F51" s="0" t="n">
        <v>60</v>
      </c>
      <c r="G51" s="0" t="n">
        <v>70</v>
      </c>
      <c r="H51" s="0" t="n">
        <v>75</v>
      </c>
      <c r="I51" s="0" t="inlineStr"/>
      <c r="J51" s="0" t="inlineStr">
        <is>
          <t>кластер: Ремонт электроники</t>
        </is>
      </c>
    </row>
    <row r="52">
      <c r="A52" s="0" t="inlineStr">
        <is>
          <t>36</t>
        </is>
      </c>
      <c r="B52" s="0" t="n">
        <v>73</v>
      </c>
      <c r="C52" s="0" t="n">
        <v>65</v>
      </c>
      <c r="D52" s="0" t="n">
        <v>95</v>
      </c>
      <c r="E52" s="0" t="n">
        <v>70</v>
      </c>
      <c r="F52" s="0" t="n">
        <v>60</v>
      </c>
      <c r="G52" s="0" t="n">
        <v>70</v>
      </c>
      <c r="H52" s="0" t="n">
        <v>75</v>
      </c>
      <c r="I52" s="0" t="inlineStr"/>
      <c r="J52" s="0" t="inlineStr">
        <is>
          <t>кластер: Ремонт электроники</t>
        </is>
      </c>
    </row>
    <row r="53">
      <c r="A53" s="0" t="inlineStr">
        <is>
          <t>37</t>
        </is>
      </c>
      <c r="B53" s="0" t="n">
        <v>73</v>
      </c>
      <c r="C53" s="0" t="n">
        <v>65</v>
      </c>
      <c r="D53" s="0" t="n">
        <v>95</v>
      </c>
      <c r="E53" s="0" t="n">
        <v>70</v>
      </c>
      <c r="F53" s="0" t="n">
        <v>60</v>
      </c>
      <c r="G53" s="0" t="n">
        <v>70</v>
      </c>
      <c r="H53" s="0" t="n">
        <v>75</v>
      </c>
      <c r="I53" s="0" t="inlineStr"/>
      <c r="J53" s="0" t="inlineStr">
        <is>
          <t>кластер: Ремонт электроники</t>
        </is>
      </c>
    </row>
    <row r="54">
      <c r="A54" s="0" t="inlineStr">
        <is>
          <t>53</t>
        </is>
      </c>
      <c r="B54" s="0" t="n">
        <v>67</v>
      </c>
      <c r="C54" s="0" t="n">
        <v>65</v>
      </c>
      <c r="D54" s="0" t="n">
        <v>50</v>
      </c>
      <c r="E54" s="0" t="n">
        <v>100</v>
      </c>
      <c r="F54" s="0" t="n">
        <v>60</v>
      </c>
      <c r="G54" s="0" t="n">
        <v>70</v>
      </c>
      <c r="H54" s="0" t="n">
        <v>62</v>
      </c>
      <c r="I54" s="0" t="inlineStr"/>
      <c r="J54" s="0" t="inlineStr">
        <is>
          <t>кластер: Оптические приборы / Микроскопы</t>
        </is>
      </c>
    </row>
    <row r="55">
      <c r="A55" s="0" t="inlineStr">
        <is>
          <t>31</t>
        </is>
      </c>
      <c r="B55" s="0" t="n">
        <v>66</v>
      </c>
      <c r="C55" s="0" t="n">
        <v>65</v>
      </c>
      <c r="D55" s="0" t="n">
        <v>50</v>
      </c>
      <c r="E55" s="0" t="n">
        <v>85</v>
      </c>
      <c r="F55" s="0" t="n">
        <v>60</v>
      </c>
      <c r="G55" s="0" t="n">
        <v>70</v>
      </c>
      <c r="H55" s="0" t="n">
        <v>75</v>
      </c>
      <c r="I55" s="0" t="inlineStr"/>
      <c r="J55" s="0" t="inlineStr">
        <is>
          <t>кластер: Типы монтажа / SMD vs DIP</t>
        </is>
      </c>
    </row>
    <row r="56">
      <c r="A56" s="0" t="inlineStr">
        <is>
          <t>39</t>
        </is>
      </c>
      <c r="B56" s="0" t="n">
        <v>64</v>
      </c>
      <c r="C56" s="0" t="n">
        <v>35</v>
      </c>
      <c r="D56" s="0" t="n">
        <v>50</v>
      </c>
      <c r="E56" s="0" t="n">
        <v>100</v>
      </c>
      <c r="F56" s="0" t="n">
        <v>88</v>
      </c>
      <c r="G56" s="0" t="n">
        <v>70</v>
      </c>
      <c r="H56" s="0" t="n">
        <v>62</v>
      </c>
      <c r="I56" s="0" t="inlineStr"/>
      <c r="J56" s="0" t="inlineStr">
        <is>
          <t>кластер: Аксессуары / Оснастка</t>
        </is>
      </c>
    </row>
    <row r="57">
      <c r="A57" s="0" t="inlineStr">
        <is>
          <t>38</t>
        </is>
      </c>
      <c r="B57" s="0" t="n">
        <v>62</v>
      </c>
      <c r="C57" s="0" t="n">
        <v>35</v>
      </c>
      <c r="D57" s="0" t="n">
        <v>50</v>
      </c>
      <c r="E57" s="0" t="n">
        <v>100</v>
      </c>
      <c r="F57" s="0" t="n">
        <v>75</v>
      </c>
      <c r="G57" s="0" t="n">
        <v>70</v>
      </c>
      <c r="H57" s="0" t="n">
        <v>62</v>
      </c>
      <c r="I57" s="0" t="inlineStr"/>
      <c r="J57" s="0" t="inlineStr">
        <is>
          <t>кластер: Аксессуары / Оснастка</t>
        </is>
      </c>
    </row>
    <row r="58">
      <c r="A58" s="0" t="inlineStr">
        <is>
          <t>40</t>
        </is>
      </c>
      <c r="B58" s="0" t="n">
        <v>59</v>
      </c>
      <c r="C58" s="0" t="n">
        <v>35</v>
      </c>
      <c r="D58" s="0" t="n">
        <v>50</v>
      </c>
      <c r="E58" s="0" t="n">
        <v>100</v>
      </c>
      <c r="F58" s="0" t="n">
        <v>60</v>
      </c>
      <c r="G58" s="0" t="n">
        <v>70</v>
      </c>
      <c r="H58" s="0" t="n">
        <v>62</v>
      </c>
      <c r="I58" s="0" t="inlineStr"/>
      <c r="J58" s="0" t="inlineStr">
        <is>
          <t>кластер: Аксессуары / Оснастка</t>
        </is>
      </c>
    </row>
    <row r="59">
      <c r="A59" s="0" t="inlineStr">
        <is>
          <t>48</t>
        </is>
      </c>
      <c r="B59" s="0" t="n">
        <v>59</v>
      </c>
      <c r="C59" s="0" t="n">
        <v>35</v>
      </c>
      <c r="D59" s="0" t="n">
        <v>50</v>
      </c>
      <c r="E59" s="0" t="n">
        <v>100</v>
      </c>
      <c r="F59" s="0" t="n">
        <v>60</v>
      </c>
      <c r="G59" s="0" t="n">
        <v>70</v>
      </c>
      <c r="H59" s="0" t="n">
        <v>62</v>
      </c>
      <c r="I59" s="0" t="inlineStr"/>
      <c r="J59" s="0" t="inlineStr">
        <is>
          <t>кластер: Материалы / Специфичные</t>
        </is>
      </c>
    </row>
    <row r="60">
      <c r="A60" s="0" t="inlineStr">
        <is>
          <t>50</t>
        </is>
      </c>
      <c r="B60" s="0" t="n">
        <v>59</v>
      </c>
      <c r="C60" s="0" t="n">
        <v>35</v>
      </c>
      <c r="D60" s="0" t="n">
        <v>50</v>
      </c>
      <c r="E60" s="0" t="n">
        <v>100</v>
      </c>
      <c r="F60" s="0" t="n">
        <v>60</v>
      </c>
      <c r="G60" s="0" t="n">
        <v>70</v>
      </c>
      <c r="H60" s="0" t="n">
        <v>62</v>
      </c>
      <c r="I60" s="0" t="inlineStr"/>
      <c r="J60" s="0" t="inlineStr">
        <is>
          <t>кластер: Материалы / Специфичные</t>
        </is>
      </c>
    </row>
    <row r="61">
      <c r="A61" s="0" t="inlineStr">
        <is>
          <t>49</t>
        </is>
      </c>
      <c r="B61" s="0" t="n">
        <v>57</v>
      </c>
      <c r="C61" s="0" t="n">
        <v>35</v>
      </c>
      <c r="D61" s="0" t="n">
        <v>50</v>
      </c>
      <c r="E61" s="0" t="n">
        <v>100</v>
      </c>
      <c r="F61" s="0" t="n">
        <v>42</v>
      </c>
      <c r="G61" s="0" t="n">
        <v>70</v>
      </c>
      <c r="H61" s="0" t="n">
        <v>62</v>
      </c>
      <c r="I61" s="0" t="inlineStr"/>
      <c r="J61" s="0" t="inlineStr">
        <is>
          <t>кластер: Материалы / Специфичные</t>
        </is>
      </c>
    </row>
    <row r="62">
      <c r="A62" t="inlineStr">
        <is>
          <t>62</t>
        </is>
      </c>
      <c r="B62" t="n">
        <v>81</v>
      </c>
      <c r="C62" t="n">
        <v>100</v>
      </c>
      <c r="D62" t="n">
        <v>95</v>
      </c>
      <c r="E62" t="n">
        <v>85</v>
      </c>
      <c r="F62" t="n">
        <v>25</v>
      </c>
      <c r="G62" t="n">
        <v>70</v>
      </c>
      <c r="H62" t="n">
        <v>100</v>
      </c>
      <c r="I62" t="inlineStr"/>
      <c r="J62" t="inlineStr">
        <is>
          <t>кластер: Материалы / Припои</t>
        </is>
      </c>
    </row>
    <row r="63">
      <c r="A63" t="inlineStr">
        <is>
          <t>61</t>
        </is>
      </c>
      <c r="B63" t="n">
        <v>59</v>
      </c>
      <c r="C63" t="n">
        <v>65</v>
      </c>
      <c r="D63" t="n">
        <v>55</v>
      </c>
      <c r="E63" t="n">
        <v>85</v>
      </c>
      <c r="F63" t="n">
        <v>25</v>
      </c>
      <c r="G63" t="n">
        <v>70</v>
      </c>
      <c r="H63" t="n">
        <v>45</v>
      </c>
      <c r="I63" t="inlineStr"/>
      <c r="J63" t="inlineStr">
        <is>
          <t>кластер: Флюсы / Расходники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предложение_id</t>
        </is>
      </c>
      <c r="B1" s="0" t="inlineStr">
        <is>
          <t>рабочий заголовок</t>
        </is>
      </c>
      <c r="C1" s="0" t="inlineStr">
        <is>
          <t>кластер</t>
        </is>
      </c>
      <c r="D1" s="0" t="inlineStr">
        <is>
          <t>тип статьи</t>
        </is>
      </c>
      <c r="E1" s="0" t="inlineStr">
        <is>
          <t>источник</t>
        </is>
      </c>
      <c r="F1" s="0" t="inlineStr">
        <is>
          <t>доказательство</t>
        </is>
      </c>
      <c r="G1" s="0" t="inlineStr">
        <is>
          <t>частота_в_выдаче</t>
        </is>
      </c>
      <c r="H1" s="0" t="inlineStr">
        <is>
          <t>оценка_приоритета</t>
        </is>
      </c>
      <c r="I1" s="0" t="inlineStr">
        <is>
          <t>статус</t>
        </is>
      </c>
      <c r="J1" s="0" t="inlineStr">
        <is>
          <t>дата_обновления</t>
        </is>
      </c>
    </row>
    <row r="2">
      <c r="A2" s="0" t="inlineStr">
        <is>
          <t>P02</t>
        </is>
      </c>
      <c r="B2" s="0" t="inlineStr">
        <is>
          <t>Что такое BGA компоненты и почему их монтаж сложнее</t>
        </is>
      </c>
      <c r="C2" s="0" t="inlineStr">
        <is>
          <t>Типы компонентов / BGA</t>
        </is>
      </c>
      <c r="D2" s="0" t="inlineStr">
        <is>
          <t>обучающий / что такое</t>
        </is>
      </c>
      <c r="E2" s="0" t="inlineStr">
        <is>
          <t>solderpoint.ru</t>
        </is>
      </c>
      <c r="F2" s="0" t="inlineStr">
        <is>
          <t>solderpoint.ru: Что такое BGA компоненты и почему их монтаж сложнее</t>
        </is>
      </c>
      <c r="G2" s="0" t="n">
        <v>1</v>
      </c>
      <c r="H2" s="0" t="n">
        <v>70</v>
      </c>
      <c r="I2" s="0" t="inlineStr">
        <is>
          <t>предложен</t>
        </is>
      </c>
      <c r="J2" s="0" t="inlineStr"/>
    </row>
    <row r="3">
      <c r="A3" s="0" t="inlineStr">
        <is>
          <t>P03</t>
        </is>
      </c>
      <c r="B3" s="0" t="inlineStr">
        <is>
          <t>Типовые ошибки при проектировании печатных плат под производство</t>
        </is>
      </c>
      <c r="C3" s="0" t="inlineStr">
        <is>
          <t>Ошибки / Проектирование</t>
        </is>
      </c>
      <c r="D3" s="0" t="inlineStr">
        <is>
          <t>ошибки / топ N</t>
        </is>
      </c>
      <c r="E3" s="0" t="inlineStr">
        <is>
          <t>solderpoint.ru</t>
        </is>
      </c>
      <c r="F3" s="0" t="inlineStr">
        <is>
          <t>solderpoint.ru: Типовые ошибки при проектировании печатных плат под производство</t>
        </is>
      </c>
      <c r="G3" s="0" t="n">
        <v>1</v>
      </c>
      <c r="H3" s="0" t="n">
        <v>70</v>
      </c>
      <c r="I3" s="0" t="inlineStr">
        <is>
          <t>предложен</t>
        </is>
      </c>
      <c r="J3" s="0" t="inlineStr"/>
    </row>
    <row r="4">
      <c r="A4" s="0" t="inlineStr">
        <is>
          <t>P05</t>
        </is>
      </c>
      <c r="B4" s="0" t="inlineStr">
        <is>
          <t>Монтаж алюминиевых плат</t>
        </is>
      </c>
      <c r="C4" s="0" t="inlineStr">
        <is>
          <t>Типы плат / Алюминиевые</t>
        </is>
      </c>
      <c r="D4" s="0" t="inlineStr">
        <is>
          <t>обучающий</t>
        </is>
      </c>
      <c r="E4" s="0" t="inlineStr">
        <is>
          <t>solderpoint.ru</t>
        </is>
      </c>
      <c r="F4" s="0" t="inlineStr">
        <is>
          <t>solderpoint.ru: Монтаж алюминиевых плат</t>
        </is>
      </c>
      <c r="G4" s="0" t="n">
        <v>1</v>
      </c>
      <c r="H4" s="0" t="n">
        <v>70</v>
      </c>
      <c r="I4" s="0" t="inlineStr">
        <is>
          <t>предложен</t>
        </is>
      </c>
      <c r="J4" s="0" t="inlineStr"/>
    </row>
    <row r="5">
      <c r="A5" s="0" t="inlineStr">
        <is>
          <t>P06</t>
        </is>
      </c>
      <c r="B5" s="0" t="inlineStr">
        <is>
          <t>Монтаж двусторонних плат</t>
        </is>
      </c>
      <c r="C5" s="0" t="inlineStr">
        <is>
          <t>Типы плат / Двусторонние</t>
        </is>
      </c>
      <c r="D5" s="0" t="inlineStr">
        <is>
          <t>обучающий</t>
        </is>
      </c>
      <c r="E5" s="0" t="inlineStr">
        <is>
          <t>solderpoint.ru</t>
        </is>
      </c>
      <c r="F5" s="0" t="inlineStr">
        <is>
          <t>solderpoint.ru: Монтаж двусторонних плат</t>
        </is>
      </c>
      <c r="G5" s="0" t="n">
        <v>1</v>
      </c>
      <c r="H5" s="0" t="n">
        <v>70</v>
      </c>
      <c r="I5" s="0" t="inlineStr">
        <is>
          <t>предложен</t>
        </is>
      </c>
      <c r="J5" s="0" t="inlineStr"/>
    </row>
    <row r="6">
      <c r="A6" s="0" t="inlineStr">
        <is>
          <t>P07</t>
        </is>
      </c>
      <c r="B6" s="0" t="inlineStr">
        <is>
          <t>Пайка для начинающих</t>
        </is>
      </c>
      <c r="C6" s="0" t="inlineStr">
        <is>
          <t>Основы пайки / Начинающим</t>
        </is>
      </c>
      <c r="D6" s="0" t="inlineStr">
        <is>
          <t>экспертный лонгрид</t>
        </is>
      </c>
      <c r="E6" s="0" t="inlineStr">
        <is>
          <t>habr.com</t>
        </is>
      </c>
      <c r="F6" s="0" t="inlineStr">
        <is>
          <t>habr.com: Пайка для начинающих</t>
        </is>
      </c>
      <c r="G6" s="0" t="n">
        <v>1</v>
      </c>
      <c r="H6" s="0" t="n">
        <v>70</v>
      </c>
      <c r="I6" s="0" t="inlineStr">
        <is>
          <t>предложен</t>
        </is>
      </c>
      <c r="J6" s="0" t="inlineStr"/>
    </row>
    <row r="7">
      <c r="A7" s="0" t="inlineStr">
        <is>
          <t>P08</t>
        </is>
      </c>
      <c r="B7" s="0" t="inlineStr">
        <is>
          <t>Как паять в домашних условиях безопасно и правильно</t>
        </is>
      </c>
      <c r="C7" s="0" t="inlineStr">
        <is>
          <t>Основы пайки / Безопасность</t>
        </is>
      </c>
      <c r="D7" s="0" t="inlineStr">
        <is>
          <t>гайд для новичков</t>
        </is>
      </c>
      <c r="E7" s="0" t="inlineStr">
        <is>
          <t>mobile-shrek.com.ua</t>
        </is>
      </c>
      <c r="F7" s="0" t="inlineStr">
        <is>
          <t>mobile-shrek.com.ua: Как паять в домашних условиях безопасно и правильно</t>
        </is>
      </c>
      <c r="G7" s="0" t="n">
        <v>1</v>
      </c>
      <c r="H7" s="0" t="n">
        <v>70</v>
      </c>
      <c r="I7" s="0" t="inlineStr">
        <is>
          <t>предложен</t>
        </is>
      </c>
      <c r="J7" s="0" t="inlineStr"/>
    </row>
    <row r="8">
      <c r="A8" s="0" t="inlineStr">
        <is>
          <t>P09</t>
        </is>
      </c>
      <c r="B8" s="0" t="inlineStr">
        <is>
          <t>Почему паяльник плохо нагревается и что с этим делать</t>
        </is>
      </c>
      <c r="C8" s="0" t="inlineStr">
        <is>
          <t>Ошибки / Диагностика</t>
        </is>
      </c>
      <c r="D8" s="0" t="inlineStr">
        <is>
          <t>проблема / решение</t>
        </is>
      </c>
      <c r="E8" s="0" t="inlineStr">
        <is>
          <t>mobile-shrek.com.ua</t>
        </is>
      </c>
      <c r="F8" s="0" t="inlineStr">
        <is>
          <t>mobile-shrek.com.ua: Почему паяльник плохо нагревается и что с этим делать</t>
        </is>
      </c>
      <c r="G8" s="0" t="n">
        <v>1</v>
      </c>
      <c r="H8" s="0" t="n">
        <v>70</v>
      </c>
      <c r="I8" s="0" t="inlineStr">
        <is>
          <t>предложен</t>
        </is>
      </c>
      <c r="J8" s="0" t="inlineStr"/>
    </row>
    <row r="9">
      <c r="A9" s="0" t="inlineStr">
        <is>
          <t>P10</t>
        </is>
      </c>
      <c r="B9" s="0" t="inlineStr">
        <is>
          <t>Детальный анализ паяльной станции OSS T210 с жалом JBC C210</t>
        </is>
      </c>
      <c r="C9" s="0" t="inlineStr">
        <is>
          <t>Инструменты / Паяльные станции</t>
        </is>
      </c>
      <c r="D9" s="0" t="inlineStr">
        <is>
          <t>обзор станции</t>
        </is>
      </c>
      <c r="E9" s="0" t="inlineStr">
        <is>
          <t>mobile-shrek.com.ua</t>
        </is>
      </c>
      <c r="F9" s="0" t="inlineStr">
        <is>
          <t>mobile-shrek.com.ua: Детальный анализ паяльной станции OSS T210 с жалом JBC C210</t>
        </is>
      </c>
      <c r="G9" s="0" t="n">
        <v>1</v>
      </c>
      <c r="H9" s="0" t="n">
        <v>70</v>
      </c>
      <c r="I9" s="0" t="inlineStr">
        <is>
          <t>предложен</t>
        </is>
      </c>
      <c r="J9" s="0" t="inlineStr"/>
    </row>
    <row r="10">
      <c r="A10" s="0" t="inlineStr">
        <is>
          <t>P01</t>
        </is>
      </c>
      <c r="B10" s="0" t="inlineStr">
        <is>
          <t>Как выбрать качественный флюс для пайки SMD</t>
        </is>
      </c>
      <c r="C10" s="0" t="inlineStr">
        <is>
          <t>Флюсы / Расходники</t>
        </is>
      </c>
      <c r="D10" s="0" t="inlineStr">
        <is>
          <t>форум / вопрос-ответ</t>
        </is>
      </c>
      <c r="E10" s="0" t="inlineStr">
        <is>
          <t>electronix.ru</t>
        </is>
      </c>
      <c r="F10" s="0" t="inlineStr">
        <is>
          <t>electronix.ru: Посоветуйте качественный флюс для пайки SMD</t>
        </is>
      </c>
      <c r="G10" s="0" t="n">
        <v>2</v>
      </c>
      <c r="H10" s="0" t="n">
        <v>67</v>
      </c>
      <c r="I10" s="0" t="inlineStr">
        <is>
          <t>предложен</t>
        </is>
      </c>
      <c r="J10" s="0" t="inlineStr"/>
    </row>
    <row r="11">
      <c r="A11" s="0" t="inlineStr">
        <is>
          <t>P04</t>
        </is>
      </c>
      <c r="B11" s="0" t="inlineStr">
        <is>
          <t>Как выбрать между SMD и DIP монтажом</t>
        </is>
      </c>
      <c r="C11" s="0" t="inlineStr">
        <is>
          <t>Типы монтажа / SMD vs DIP</t>
        </is>
      </c>
      <c r="D11" s="0" t="inlineStr">
        <is>
          <t>сравнение / выбор</t>
        </is>
      </c>
      <c r="E11" s="0" t="inlineStr">
        <is>
          <t>solderpoint.ru</t>
        </is>
      </c>
      <c r="F11" s="0" t="inlineStr">
        <is>
          <t>solderpoint.ru: Как выбрать между SMD и DIP монтажом</t>
        </is>
      </c>
      <c r="G11" s="0" t="n">
        <v>1</v>
      </c>
      <c r="H11" s="0" t="n">
        <v>67</v>
      </c>
      <c r="I11" s="0" t="inlineStr">
        <is>
          <t>предложен</t>
        </is>
      </c>
      <c r="J11" s="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домен</t>
        </is>
      </c>
      <c r="B1" s="0" t="inlineStr">
        <is>
          <t>ниша</t>
        </is>
      </c>
      <c r="C1" s="0" t="inlineStr">
        <is>
          <t>тип</t>
        </is>
      </c>
      <c r="D1" s="0" t="inlineStr">
        <is>
          <t>источник_находки</t>
        </is>
      </c>
      <c r="E1" s="0" t="inlineStr">
        <is>
          <t>запросы</t>
        </is>
      </c>
      <c r="F1" s="0" t="inlineStr">
        <is>
          <t>сколько_раз_в_выдаче</t>
        </is>
      </c>
      <c r="G1" s="0" t="inlineStr">
        <is>
          <t>найдено_статей</t>
        </is>
      </c>
      <c r="H1" s="0" t="inlineStr">
        <is>
          <t>пример_url</t>
        </is>
      </c>
      <c r="I1" s="0" t="inlineStr">
        <is>
          <t>статус</t>
        </is>
      </c>
      <c r="J1" s="0" t="inlineStr">
        <is>
          <t>дата_обновления</t>
        </is>
      </c>
    </row>
    <row r="2">
      <c r="A2" s="0" t="inlineStr">
        <is>
          <t>radioskot.ru</t>
        </is>
      </c>
      <c r="B2" s="0" t="inlineStr">
        <is>
          <t>Схемы и статьи по пайке для радиолюбителей</t>
        </is>
      </c>
      <c r="C2" s="0" t="inlineStr">
        <is>
          <t>Косвенный конкурент</t>
        </is>
      </c>
      <c r="D2" s="0" t="inlineStr">
        <is>
          <t>Схемы и статьи по пайке для радиолюбителей</t>
        </is>
      </c>
      <c r="E2" s="0" t="inlineStr">
        <is>
          <t>профильный ресурс</t>
        </is>
      </c>
      <c r="F2" s="0" t="n">
        <v>1</v>
      </c>
      <c r="G2" s="0" t="n">
        <v>0</v>
      </c>
      <c r="H2" s="0" t="inlineStr">
        <is>
          <t>https://radioskot.ru</t>
        </is>
      </c>
      <c r="I2" s="0" t="inlineStr">
        <is>
          <t>предложен</t>
        </is>
      </c>
      <c r="J2" s="0" t="inlineStr"/>
    </row>
    <row r="3">
      <c r="A3" s="0" t="inlineStr">
        <is>
          <t>cxem.net</t>
        </is>
      </c>
      <c r="B3" s="0" t="inlineStr">
        <is>
          <t>Портал Паяльник: статьи и мастерская</t>
        </is>
      </c>
      <c r="C3" s="0" t="inlineStr">
        <is>
          <t>Косвенный конкурент</t>
        </is>
      </c>
      <c r="D3" s="0" t="inlineStr">
        <is>
          <t>Портал Паяльник: статьи и мастерская</t>
        </is>
      </c>
      <c r="E3" s="0" t="inlineStr">
        <is>
          <t>профильный ресурс</t>
        </is>
      </c>
      <c r="F3" s="0" t="n">
        <v>1</v>
      </c>
      <c r="G3" s="0" t="n">
        <v>0</v>
      </c>
      <c r="H3" s="0" t="inlineStr">
        <is>
          <t>https://cxem.net</t>
        </is>
      </c>
      <c r="I3" s="0" t="inlineStr">
        <is>
          <t>предложен</t>
        </is>
      </c>
      <c r="J3" s="0" t="inlineStr"/>
    </row>
    <row r="4">
      <c r="A4" s="0" t="inlineStr">
        <is>
          <t>masteram-online.ru</t>
        </is>
      </c>
      <c r="B4" s="0" t="inlineStr">
        <is>
          <t>Статьи и обзоры паяльного оборудования</t>
        </is>
      </c>
      <c r="C4" s="0" t="inlineStr">
        <is>
          <t>Косвенный конкурент</t>
        </is>
      </c>
      <c r="D4" s="0" t="inlineStr">
        <is>
          <t>Статьи и обзоры паяльного оборудования</t>
        </is>
      </c>
      <c r="E4" s="0" t="inlineStr">
        <is>
          <t>профильный ресурс</t>
        </is>
      </c>
      <c r="F4" s="0" t="n">
        <v>1</v>
      </c>
      <c r="G4" s="0" t="n">
        <v>0</v>
      </c>
      <c r="H4" s="0" t="inlineStr">
        <is>
          <t>https://masteram-online.ru</t>
        </is>
      </c>
      <c r="I4" s="0" t="inlineStr">
        <is>
          <t>предложен</t>
        </is>
      </c>
      <c r="J4" s="0" t="inlineStr"/>
    </row>
    <row r="5">
      <c r="A5" s="0" t="inlineStr">
        <is>
          <t>radio-hobby.org</t>
        </is>
      </c>
      <c r="B5" s="0" t="inlineStr">
        <is>
          <t>Радиодетали и пайка: инструкции</t>
        </is>
      </c>
      <c r="C5" s="0" t="inlineStr">
        <is>
          <t>Косвенный конкурент</t>
        </is>
      </c>
      <c r="D5" s="0" t="inlineStr">
        <is>
          <t>Радиодетали и пайка: инструкции</t>
        </is>
      </c>
      <c r="E5" s="0" t="inlineStr">
        <is>
          <t>профильный ресурс</t>
        </is>
      </c>
      <c r="F5" s="0" t="n">
        <v>1</v>
      </c>
      <c r="G5" s="0" t="n">
        <v>0</v>
      </c>
      <c r="H5" s="0" t="inlineStr">
        <is>
          <t>https://radio-hobby.org</t>
        </is>
      </c>
      <c r="I5" s="0" t="inlineStr">
        <is>
          <t>предложен</t>
        </is>
      </c>
      <c r="J5" s="0" t="inlineStr"/>
    </row>
    <row r="6">
      <c r="A6" s="0" t="inlineStr">
        <is>
          <t>easyelectronics.ru</t>
        </is>
      </c>
      <c r="B6" s="0" t="inlineStr">
        <is>
          <t>Обучающие статьи по пайке и электронике</t>
        </is>
      </c>
      <c r="C6" s="0" t="inlineStr">
        <is>
          <t>Косвенный конкурент</t>
        </is>
      </c>
      <c r="D6" s="0" t="inlineStr">
        <is>
          <t>Обучающие статьи по пайке и электронике</t>
        </is>
      </c>
      <c r="E6" s="0" t="inlineStr">
        <is>
          <t>профильный ресурс</t>
        </is>
      </c>
      <c r="F6" s="0" t="n">
        <v>1</v>
      </c>
      <c r="G6" s="0" t="n">
        <v>0</v>
      </c>
      <c r="H6" s="0" t="inlineStr">
        <is>
          <t>https://easyelectronics.ru</t>
        </is>
      </c>
      <c r="I6" s="0" t="inlineStr">
        <is>
          <t>предложен</t>
        </is>
      </c>
      <c r="J6" s="0" t="inlineStr"/>
    </row>
    <row r="7">
      <c r="A7" s="0" t="inlineStr">
        <is>
          <t>service-core.ru</t>
        </is>
      </c>
      <c r="B7" s="0" t="inlineStr">
        <is>
          <t>Практика ремонта и пайки микросхем</t>
        </is>
      </c>
      <c r="C7" s="0" t="inlineStr">
        <is>
          <t>Косвенный конкурент</t>
        </is>
      </c>
      <c r="D7" s="0" t="inlineStr">
        <is>
          <t>Практика ремонта и пайки микросхем</t>
        </is>
      </c>
      <c r="E7" s="0" t="inlineStr">
        <is>
          <t>профильный ресурс</t>
        </is>
      </c>
      <c r="F7" s="0" t="n">
        <v>1</v>
      </c>
      <c r="G7" s="0" t="n">
        <v>0</v>
      </c>
      <c r="H7" s="0" t="inlineStr">
        <is>
          <t>https://service-core.ru</t>
        </is>
      </c>
      <c r="I7" s="0" t="inlineStr">
        <is>
          <t>предложен</t>
        </is>
      </c>
      <c r="J7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2026-10-04T14:39:29Z</dcterms:created>
  <dcterms:modified xmlns:dcterms="http://purl.org/dc/terms/" xmlns:xsi="http://www.w3.org/2001/XMLSchema-instance" xsi:type="dcterms:W3CDTF">2026-10-28T19:51:06Z</dcterms:modified>
</cp:coreProperties>
</file>